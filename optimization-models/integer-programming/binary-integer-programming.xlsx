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/Documents/"/>
    </mc:Choice>
  </mc:AlternateContent>
  <xr:revisionPtr revIDLastSave="0" documentId="8_{B60BDB1B-0E53-E346-A4FD-972822700CA7}" xr6:coauthVersionLast="47" xr6:coauthVersionMax="47" xr10:uidLastSave="{00000000-0000-0000-0000-000000000000}"/>
  <bookViews>
    <workbookView xWindow="15640" yWindow="6680" windowWidth="25140" windowHeight="16440" activeTab="4" xr2:uid="{3A03864A-EB7D-1349-AA63-3E8FD6D6D6D9}"/>
  </bookViews>
  <sheets>
    <sheet name="Princess Brides" sheetId="1" r:id="rId1"/>
    <sheet name="Bolsa de Cafe" sheetId="2" r:id="rId2"/>
    <sheet name="Art Posters" sheetId="3" r:id="rId3"/>
    <sheet name="Binary Investment Decision" sheetId="4" r:id="rId4"/>
    <sheet name="Horizon Wireless" sheetId="5" r:id="rId5"/>
  </sheets>
  <definedNames>
    <definedName name="solver_adj" localSheetId="2" hidden="1">'Art Posters'!$B$2:$C$2</definedName>
    <definedName name="solver_adj" localSheetId="3" hidden="1">'Binary Investment Decision'!$B$8:$H$8</definedName>
    <definedName name="solver_adj" localSheetId="1" hidden="1">'Bolsa de Cafe'!$B$3:$C$3</definedName>
    <definedName name="solver_adj" localSheetId="4" hidden="1">'Horizon Wireless'!$B$4:$G$4</definedName>
    <definedName name="solver_adj" localSheetId="0" hidden="1">'Princess Brides'!$B$3:$C$3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cvg" localSheetId="4" hidden="1">0.0001</definedName>
    <definedName name="solver_cvg" localSheetId="0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drv" localSheetId="4" hidden="1">1</definedName>
    <definedName name="solver_drv" localSheetId="0" hidden="1">1</definedName>
    <definedName name="solver_eng" localSheetId="2" hidden="1">2</definedName>
    <definedName name="solver_eng" localSheetId="3" hidden="1">2</definedName>
    <definedName name="solver_eng" localSheetId="1" hidden="1">2</definedName>
    <definedName name="solver_eng" localSheetId="4" hidden="1">1</definedName>
    <definedName name="solver_eng" localSheetId="0" hidden="1">2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itr" localSheetId="4" hidden="1">2147483647</definedName>
    <definedName name="solver_itr" localSheetId="0" hidden="1">2147483647</definedName>
    <definedName name="solver_lhs1" localSheetId="2" hidden="1">'Art Posters'!$B$2:$C$2</definedName>
    <definedName name="solver_lhs1" localSheetId="3" hidden="1">'Binary Investment Decision'!$B$8:$H$8</definedName>
    <definedName name="solver_lhs1" localSheetId="1" hidden="1">'Bolsa de Cafe'!$B$3</definedName>
    <definedName name="solver_lhs1" localSheetId="4" hidden="1">'Horizon Wireless'!$B$4:$G$4</definedName>
    <definedName name="solver_lhs1" localSheetId="0" hidden="1">'Princess Brides'!$B$3:$C$3</definedName>
    <definedName name="solver_lhs2" localSheetId="2" hidden="1">'Art Posters'!$D$9:$D$11</definedName>
    <definedName name="solver_lhs2" localSheetId="3" hidden="1">'Binary Investment Decision'!$I$16</definedName>
    <definedName name="solver_lhs2" localSheetId="1" hidden="1">'Bolsa de Cafe'!$C$3</definedName>
    <definedName name="solver_lhs2" localSheetId="4" hidden="1">'Horizon Wireless'!$H$12:$H$19</definedName>
    <definedName name="solver_lhs2" localSheetId="0" hidden="1">'Princess Brides'!$D$12</definedName>
    <definedName name="solver_lhs3" localSheetId="3" hidden="1">'Binary Investment Decision'!$I$17</definedName>
    <definedName name="solver_lhs3" localSheetId="1" hidden="1">'Bolsa de Cafe'!$D$10:$D$12</definedName>
    <definedName name="solver_lhs3" localSheetId="4" hidden="1">'Horizon Wireless'!$H$20</definedName>
    <definedName name="solver_lhs3" localSheetId="0" hidden="1">'Princess Brides'!$D$13</definedName>
    <definedName name="solver_lhs4" localSheetId="3" hidden="1">'Binary Investment Decision'!$I$18</definedName>
    <definedName name="solver_lhs4" localSheetId="0" hidden="1">'Princess Brides'!$D$14</definedName>
    <definedName name="solver_lhs5" localSheetId="3" hidden="1">'Binary Investment Decision'!$I$19</definedName>
    <definedName name="solver_lhs6" localSheetId="3" hidden="1">'Binary Investment Decision'!$I$19</definedName>
    <definedName name="solver_lin" localSheetId="2" hidden="1">1</definedName>
    <definedName name="solver_lin" localSheetId="3" hidden="1">1</definedName>
    <definedName name="solver_lin" localSheetId="1" hidden="1">1</definedName>
    <definedName name="solver_lin" localSheetId="4" hidden="1">2</definedName>
    <definedName name="solver_lin" localSheetId="0" hidden="1">1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ip" localSheetId="4" hidden="1">2147483647</definedName>
    <definedName name="solver_mip" localSheetId="0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ni" localSheetId="4" hidden="1">30</definedName>
    <definedName name="solver_mni" localSheetId="0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rt" localSheetId="4" hidden="1">0.075</definedName>
    <definedName name="solver_mrt" localSheetId="0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msl" localSheetId="4" hidden="1">2</definedName>
    <definedName name="solver_msl" localSheetId="0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eg" localSheetId="4" hidden="1">1</definedName>
    <definedName name="solver_neg" localSheetId="0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od" localSheetId="4" hidden="1">2147483647</definedName>
    <definedName name="solver_nod" localSheetId="0" hidden="1">2147483647</definedName>
    <definedName name="solver_num" localSheetId="2" hidden="1">2</definedName>
    <definedName name="solver_num" localSheetId="3" hidden="1">5</definedName>
    <definedName name="solver_num" localSheetId="1" hidden="1">3</definedName>
    <definedName name="solver_num" localSheetId="4" hidden="1">2</definedName>
    <definedName name="solver_num" localSheetId="0" hidden="1">4</definedName>
    <definedName name="solver_opt" localSheetId="2" hidden="1">'Art Posters'!$B$6</definedName>
    <definedName name="solver_opt" localSheetId="3" hidden="1">'Binary Investment Decision'!$B$12</definedName>
    <definedName name="solver_opt" localSheetId="1" hidden="1">'Bolsa de Cafe'!$B$6</definedName>
    <definedName name="solver_opt" localSheetId="4" hidden="1">'Horizon Wireless'!$B$8</definedName>
    <definedName name="solver_opt" localSheetId="0" hidden="1">'Princess Brides'!$B$7</definedName>
    <definedName name="solver_pre" localSheetId="2" hidden="1">0.000001</definedName>
    <definedName name="solver_pre" localSheetId="3" hidden="1">0.00000001</definedName>
    <definedName name="solver_pre" localSheetId="1" hidden="1">0.000001</definedName>
    <definedName name="solver_pre" localSheetId="4" hidden="1">0.000001</definedName>
    <definedName name="solver_pre" localSheetId="0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bv" localSheetId="4" hidden="1">1</definedName>
    <definedName name="solver_rbv" localSheetId="0" hidden="1">1</definedName>
    <definedName name="solver_rel1" localSheetId="2" hidden="1">4</definedName>
    <definedName name="solver_rel1" localSheetId="3" hidden="1">5</definedName>
    <definedName name="solver_rel1" localSheetId="1" hidden="1">4</definedName>
    <definedName name="solver_rel1" localSheetId="4" hidden="1">5</definedName>
    <definedName name="solver_rel1" localSheetId="0" hidden="1">4</definedName>
    <definedName name="solver_rel2" localSheetId="2" hidden="1">1</definedName>
    <definedName name="solver_rel2" localSheetId="3" hidden="1">3</definedName>
    <definedName name="solver_rel2" localSheetId="1" hidden="1">4</definedName>
    <definedName name="solver_rel2" localSheetId="4" hidden="1">2</definedName>
    <definedName name="solver_rel2" localSheetId="0" hidden="1">1</definedName>
    <definedName name="solver_rel3" localSheetId="3" hidden="1">1</definedName>
    <definedName name="solver_rel3" localSheetId="1" hidden="1">1</definedName>
    <definedName name="solver_rel3" localSheetId="4" hidden="1">1</definedName>
    <definedName name="solver_rel3" localSheetId="0" hidden="1">1</definedName>
    <definedName name="solver_rel4" localSheetId="3" hidden="1">2</definedName>
    <definedName name="solver_rel4" localSheetId="0" hidden="1">3</definedName>
    <definedName name="solver_rel5" localSheetId="3" hidden="1">1</definedName>
    <definedName name="solver_rel6" localSheetId="3" hidden="1">1</definedName>
    <definedName name="solver_rhs1" localSheetId="2" hidden="1">"integer"</definedName>
    <definedName name="solver_rhs1" localSheetId="3" hidden="1">"binary"</definedName>
    <definedName name="solver_rhs1" localSheetId="1" hidden="1">"integer"</definedName>
    <definedName name="solver_rhs1" localSheetId="4" hidden="1">"binary"</definedName>
    <definedName name="solver_rhs1" localSheetId="0" hidden="1">"integer"</definedName>
    <definedName name="solver_rhs2" localSheetId="2" hidden="1">'Art Posters'!$F$9:$F$11</definedName>
    <definedName name="solver_rhs2" localSheetId="3" hidden="1">'Binary Investment Decision'!$K$16</definedName>
    <definedName name="solver_rhs2" localSheetId="1" hidden="1">"integer"</definedName>
    <definedName name="solver_rhs2" localSheetId="4" hidden="1">'Horizon Wireless'!$J$12:$J$19</definedName>
    <definedName name="solver_rhs2" localSheetId="0" hidden="1">'Princess Brides'!$F$12</definedName>
    <definedName name="solver_rhs3" localSheetId="3" hidden="1">'Binary Investment Decision'!$K$17</definedName>
    <definedName name="solver_rhs3" localSheetId="1" hidden="1">'Bolsa de Cafe'!$F$10:$F$12</definedName>
    <definedName name="solver_rhs3" localSheetId="4" hidden="1">'Horizon Wireless'!$J$20</definedName>
    <definedName name="solver_rhs3" localSheetId="0" hidden="1">'Princess Brides'!$F$13</definedName>
    <definedName name="solver_rhs4" localSheetId="3" hidden="1">'Binary Investment Decision'!$K$18</definedName>
    <definedName name="solver_rhs4" localSheetId="0" hidden="1">'Princess Brides'!$F$14</definedName>
    <definedName name="solver_rhs5" localSheetId="3" hidden="1">'Binary Investment Decision'!$K$19</definedName>
    <definedName name="solver_rhs6" localSheetId="3" hidden="1">'Binary Investment Decision'!$K$19</definedName>
    <definedName name="solver_rlx" localSheetId="2" hidden="1">1</definedName>
    <definedName name="solver_rlx" localSheetId="3" hidden="1">2</definedName>
    <definedName name="solver_rlx" localSheetId="1" hidden="1">2</definedName>
    <definedName name="solver_rlx" localSheetId="4" hidden="1">2</definedName>
    <definedName name="solver_rlx" localSheetId="0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rsd" localSheetId="4" hidden="1">0</definedName>
    <definedName name="solver_rsd" localSheetId="0" hidden="1">0</definedName>
    <definedName name="solver_scl" localSheetId="2" hidden="1">2</definedName>
    <definedName name="solver_scl" localSheetId="3" hidden="1">1</definedName>
    <definedName name="solver_scl" localSheetId="1" hidden="1">1</definedName>
    <definedName name="solver_scl" localSheetId="4" hidden="1">1</definedName>
    <definedName name="solver_scl" localSheetId="0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ho" localSheetId="4" hidden="1">2</definedName>
    <definedName name="solver_sho" localSheetId="0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ssz" localSheetId="4" hidden="1">100</definedName>
    <definedName name="solver_ssz" localSheetId="0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im" localSheetId="4" hidden="1">2147483647</definedName>
    <definedName name="solver_tim" localSheetId="0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ol" localSheetId="4" hidden="1">0.01</definedName>
    <definedName name="solver_tol" localSheetId="0" hidden="1">0.01</definedName>
    <definedName name="solver_typ" localSheetId="2" hidden="1">1</definedName>
    <definedName name="solver_typ" localSheetId="3" hidden="1">1</definedName>
    <definedName name="solver_typ" localSheetId="1" hidden="1">1</definedName>
    <definedName name="solver_typ" localSheetId="4" hidden="1">2</definedName>
    <definedName name="solver_typ" localSheetId="0" hidden="1">1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al" localSheetId="4" hidden="1">0</definedName>
    <definedName name="solver_val" localSheetId="0" hidden="1">0</definedName>
    <definedName name="solver_ver" localSheetId="2" hidden="1">2</definedName>
    <definedName name="solver_ver" localSheetId="3" hidden="1">2</definedName>
    <definedName name="solver_ver" localSheetId="1" hidden="1">2</definedName>
    <definedName name="solver_ver" localSheetId="4" hidden="1">2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H13" i="5"/>
  <c r="H14" i="5"/>
  <c r="H15" i="5"/>
  <c r="H16" i="5"/>
  <c r="H17" i="5"/>
  <c r="H18" i="5"/>
  <c r="H19" i="5"/>
  <c r="H12" i="5"/>
  <c r="I16" i="4"/>
  <c r="I17" i="4"/>
  <c r="I18" i="4"/>
  <c r="I19" i="4"/>
  <c r="B12" i="4"/>
  <c r="D10" i="3"/>
  <c r="D11" i="3"/>
  <c r="D9" i="3"/>
  <c r="B6" i="3"/>
  <c r="D11" i="2"/>
  <c r="D12" i="2"/>
  <c r="D10" i="2"/>
  <c r="B6" i="2"/>
  <c r="D13" i="1"/>
  <c r="D14" i="1"/>
  <c r="D12" i="1"/>
  <c r="B7" i="1"/>
  <c r="C6" i="2"/>
  <c r="D12" i="4"/>
  <c r="G12" i="2"/>
  <c r="G10" i="2"/>
  <c r="G11" i="2"/>
</calcChain>
</file>

<file path=xl/sharedStrings.xml><?xml version="1.0" encoding="utf-8"?>
<sst xmlns="http://schemas.openxmlformats.org/spreadsheetml/2006/main" count="104" uniqueCount="58">
  <si>
    <t>Princess Brides</t>
  </si>
  <si>
    <t>Variables</t>
  </si>
  <si>
    <t xml:space="preserve">Objective (max) </t>
  </si>
  <si>
    <t>Eyeballs:</t>
  </si>
  <si>
    <t>Budget:</t>
  </si>
  <si>
    <t>Constraints</t>
  </si>
  <si>
    <t>RHS</t>
  </si>
  <si>
    <t>Sign</t>
  </si>
  <si>
    <t>LHS</t>
  </si>
  <si>
    <t>Peak</t>
  </si>
  <si>
    <t>Off-Peak</t>
  </si>
  <si>
    <t>&lt;=</t>
  </si>
  <si>
    <t>&gt;=</t>
  </si>
  <si>
    <t>No more than 6 OP</t>
  </si>
  <si>
    <t>At least 2 P</t>
  </si>
  <si>
    <t>Bolsa de Café</t>
  </si>
  <si>
    <t>Variables:</t>
  </si>
  <si>
    <t>A</t>
  </si>
  <si>
    <t>B</t>
  </si>
  <si>
    <t>Objective (Max)</t>
  </si>
  <si>
    <t>No. of 20lb bags</t>
  </si>
  <si>
    <t>Lbs of grinded beans</t>
  </si>
  <si>
    <t>Profits:</t>
  </si>
  <si>
    <t xml:space="preserve">C </t>
  </si>
  <si>
    <t>L</t>
  </si>
  <si>
    <t>S</t>
  </si>
  <si>
    <t>No more that 4 L Sold</t>
  </si>
  <si>
    <t>No more than 6 sold</t>
  </si>
  <si>
    <t>3 Hours on L 1.5 on S</t>
  </si>
  <si>
    <t>Objective (max)</t>
  </si>
  <si>
    <t>Profit:</t>
  </si>
  <si>
    <t>Binary = 0 or 1</t>
  </si>
  <si>
    <t>0 = no</t>
  </si>
  <si>
    <t>1 = yes</t>
  </si>
  <si>
    <t xml:space="preserve"> X1</t>
  </si>
  <si>
    <t>X2</t>
  </si>
  <si>
    <t>X3</t>
  </si>
  <si>
    <t>X4</t>
  </si>
  <si>
    <t>X5</t>
  </si>
  <si>
    <t>X6</t>
  </si>
  <si>
    <t>X7</t>
  </si>
  <si>
    <t>Inv. Funds:</t>
  </si>
  <si>
    <t>(0,1)</t>
  </si>
  <si>
    <t>Return:</t>
  </si>
  <si>
    <t>(000s)</t>
  </si>
  <si>
    <t>At least 2 Texan firms</t>
  </si>
  <si>
    <t>No more 1 foreign firm</t>
  </si>
  <si>
    <t>1 of 2 California Oil</t>
  </si>
  <si>
    <t>Total budget 3 million</t>
  </si>
  <si>
    <t>=</t>
  </si>
  <si>
    <t>Objective(min)</t>
  </si>
  <si>
    <t>Towers Built:</t>
  </si>
  <si>
    <t>X1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</si>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</sst>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2"/>
      <color theme="3" tint="0.499984740745262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2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1" applyNumberFormat="1" applyFont="1" applyAlignment="1">
      <alignment horizontal="center"/>
    </xf>
    <xf numFmtId="44" fontId="0" fillId="0" borderId="0" xfId="1" applyFont="1"/>
    <xf numFmtId="164" fontId="0" fillId="0" borderId="0" xfId="1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" fontId="0" fillId="3" borderId="0" xfId="0" applyNumberFormat="1" applyFill="1"/>
    <xf numFmtId="2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3" borderId="0" xfId="1" applyFont="1" applyFill="1"/>
    <xf numFmtId="44" fontId="0" fillId="4" borderId="0" xfId="1" applyFont="1" applyFill="1"/>
    <xf numFmtId="164" fontId="3" fillId="0" borderId="0" xfId="1" applyNumberFormat="1" applyFont="1"/>
    <xf numFmtId="0" fontId="0" fillId="2" borderId="1" xfId="0" applyFill="1" applyBorder="1"/>
    <xf numFmtId="0" fontId="4" fillId="0" borderId="1" xfId="0" applyFont="1" applyBorder="1" applyAlignment="1">
      <alignment horizontal="center"/>
    </xf>
    <xf numFmtId="164" fontId="0" fillId="0" borderId="0" xfId="0" applyNumberFormat="1"/>
    <xf numFmtId="0" fontId="0" fillId="0" borderId="1" xfId="1" applyNumberFormat="1" applyFont="1" applyBorder="1" applyAlignment="1">
      <alignment horizontal="center"/>
    </xf>
    <xf numFmtId="0" fontId="0" fillId="4" borderId="0" xfId="1" applyNumberFormat="1" applyFont="1" applyFill="1" applyAlignment="1"/>
    <xf numFmtId="0" fontId="0" fillId="0" borderId="0" xfId="1" applyNumberFormat="1" applyFont="1"/>
    <xf numFmtId="0" fontId="0" fillId="4" borderId="0" xfId="0" applyFill="1" applyAlignment="1">
      <alignment horizontal="center"/>
    </xf>
  </cellXfs>
  <cellStyles count="3">
    <cellStyle name="Currency" xfId="1" builtinId="4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749300</xdr:colOff>
      <xdr:row>3</xdr:row>
      <xdr:rowOff>165100</xdr:rowOff>
    </xdr:from>
    <xdr:to>
      <xdr:col>18</xdr:col>
      <xdr:colOff>266700</xdr:colOff>
      <xdr:row>13</xdr:row>
      <xdr:rowOff>100796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C2024-DE78-A9E3-98AB-68C24031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876300"/>
          <a:ext cx="7772400" cy="1967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15</xdr:row>
      <xdr:rowOff>152400</xdr:rowOff>
    </xdr:from>
    <xdr:to>
      <xdr:col>8</xdr:col>
      <xdr:colOff>647700</xdr:colOff>
      <xdr:row>33</xdr:row>
      <xdr:rowOff>49554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3DB54B-031A-EF8F-2F14-01EC3873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8200" y="3302000"/>
          <a:ext cx="7772400" cy="3554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14</xdr:row>
      <xdr:rowOff>76200</xdr:rowOff>
    </xdr:from>
    <xdr:to>
      <xdr:col>10</xdr:col>
      <xdr:colOff>215900</xdr:colOff>
      <xdr:row>23</xdr:row>
      <xdr:rowOff>202764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6CBBEF-8519-5812-4F61-2849C9DE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2921000"/>
          <a:ext cx="7772400" cy="19553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203200</xdr:colOff>
      <xdr:row>4</xdr:row>
      <xdr:rowOff>101600</xdr:rowOff>
    </xdr:from>
    <xdr:to>
      <xdr:col>20</xdr:col>
      <xdr:colOff>495300</xdr:colOff>
      <xdr:row>28</xdr:row>
      <xdr:rowOff>98036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B6081-52EB-CB40-C0D6-B1088820D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0" y="914400"/>
          <a:ext cx="7772400" cy="48732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469900</xdr:colOff>
      <xdr:row>27</xdr:row>
      <xdr:rowOff>38100</xdr:rowOff>
    </xdr:from>
    <xdr:to>
      <xdr:col>18</xdr:col>
      <xdr:colOff>812800</xdr:colOff>
      <xdr:row>48</xdr:row>
      <xdr:rowOff>50086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0FAC2-2893-686F-880B-7D9D051EB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2300" y="5524500"/>
          <a:ext cx="7772400" cy="4279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73D9-A9AD-354B-9822-C592AA40F3D0}">
  <dimension ref="A1:F15"/>
  <sheetViews>
    <sheetView workbookViewId="0">
      <selection activeCell="D17" sqref="D17"/>
    </sheetView>
  </sheetViews>
  <sheetFormatPr baseColWidth="10" defaultRowHeight="16" x14ac:dyDescent="0.2"/>
  <cols>
    <col min="1" max="1" width="20.33203125" bestFit="1" customWidth="1"/>
  </cols>
  <sheetData>
    <row r="1" spans="1:6" ht="24" x14ac:dyDescent="0.3">
      <c r="A1" s="1" t="s">
        <v>0</v>
      </c>
    </row>
    <row r="2" spans="1:6" x14ac:dyDescent="0.2">
      <c r="B2" s="2" t="s">
        <v>9</v>
      </c>
      <c r="C2" s="2" t="s">
        <v>10</v>
      </c>
    </row>
    <row r="3" spans="1:6" x14ac:dyDescent="0.2">
      <c r="A3" t="s">
        <v>1</v>
      </c>
      <c r="B3" s="13">
        <v>4</v>
      </c>
      <c r="C3" s="4">
        <v>1</v>
      </c>
    </row>
    <row r="4" spans="1:6" x14ac:dyDescent="0.2">
      <c r="B4" s="5">
        <v>8200</v>
      </c>
      <c r="C4" s="5">
        <v>5100</v>
      </c>
    </row>
    <row r="6" spans="1:6" x14ac:dyDescent="0.2">
      <c r="A6" t="s">
        <v>2</v>
      </c>
    </row>
    <row r="7" spans="1:6" x14ac:dyDescent="0.2">
      <c r="A7" s="2" t="s">
        <v>3</v>
      </c>
      <c r="B7" s="11">
        <f>SUMPRODUCT(B4:C4,B3:C3)</f>
        <v>37900</v>
      </c>
    </row>
    <row r="11" spans="1:6" x14ac:dyDescent="0.2">
      <c r="A11" s="8" t="s">
        <v>5</v>
      </c>
      <c r="B11" s="8"/>
      <c r="C11" s="8"/>
      <c r="D11" s="8" t="s">
        <v>8</v>
      </c>
      <c r="E11" s="8" t="s">
        <v>7</v>
      </c>
      <c r="F11" s="8" t="s">
        <v>6</v>
      </c>
    </row>
    <row r="12" spans="1:6" x14ac:dyDescent="0.2">
      <c r="A12" s="9" t="s">
        <v>4</v>
      </c>
      <c r="B12" s="10">
        <v>390</v>
      </c>
      <c r="C12" s="10">
        <v>240</v>
      </c>
      <c r="D12" s="9">
        <f>SUMPRODUCT(B12:C12,$B$3:$C$3)</f>
        <v>1800</v>
      </c>
      <c r="E12" s="9" t="s">
        <v>11</v>
      </c>
      <c r="F12" s="10">
        <v>1800</v>
      </c>
    </row>
    <row r="13" spans="1:6" x14ac:dyDescent="0.2">
      <c r="A13" s="9" t="s">
        <v>13</v>
      </c>
      <c r="B13" s="9"/>
      <c r="C13" s="9">
        <v>1</v>
      </c>
      <c r="D13" s="9">
        <f t="shared" ref="D13:D14" si="0">SUMPRODUCT(B13:C13,$B$3:$C$3)</f>
        <v>1</v>
      </c>
      <c r="E13" s="9" t="s">
        <v>11</v>
      </c>
      <c r="F13" s="9">
        <v>6</v>
      </c>
    </row>
    <row r="14" spans="1:6" x14ac:dyDescent="0.2">
      <c r="A14" s="9" t="s">
        <v>14</v>
      </c>
      <c r="B14" s="9">
        <v>1</v>
      </c>
      <c r="C14" s="9"/>
      <c r="D14" s="9">
        <f t="shared" si="0"/>
        <v>4</v>
      </c>
      <c r="E14" s="9" t="s">
        <v>12</v>
      </c>
      <c r="F14" s="9">
        <v>2</v>
      </c>
    </row>
    <row r="15" spans="1:6" x14ac:dyDescent="0.2">
      <c r="A15" s="9"/>
      <c r="B15" s="9"/>
      <c r="C15" s="9"/>
      <c r="D15" s="9"/>
      <c r="E15" s="9"/>
      <c r="F15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DAEF-16AB-DF42-B820-1BA037EA78F1}">
  <dimension ref="A1:G13"/>
  <sheetViews>
    <sheetView workbookViewId="0">
      <selection activeCell="F4" sqref="F4"/>
    </sheetView>
  </sheetViews>
  <sheetFormatPr baseColWidth="10" defaultRowHeight="16" x14ac:dyDescent="0.2"/>
  <cols>
    <col min="1" max="1" width="18.1640625" bestFit="1" customWidth="1"/>
    <col min="2" max="2" width="23.6640625" customWidth="1"/>
    <col min="3" max="3" width="23.33203125" customWidth="1"/>
    <col min="4" max="4" width="12.6640625" bestFit="1" customWidth="1"/>
  </cols>
  <sheetData>
    <row r="1" spans="1:7" ht="24" x14ac:dyDescent="0.3">
      <c r="A1" s="1" t="s">
        <v>15</v>
      </c>
    </row>
    <row r="2" spans="1:7" x14ac:dyDescent="0.2">
      <c r="B2" s="2" t="s">
        <v>20</v>
      </c>
      <c r="C2" s="2" t="s">
        <v>21</v>
      </c>
    </row>
    <row r="3" spans="1:7" x14ac:dyDescent="0.2">
      <c r="A3" t="s">
        <v>16</v>
      </c>
      <c r="B3" s="4">
        <v>44</v>
      </c>
      <c r="C3" s="12">
        <v>20</v>
      </c>
    </row>
    <row r="4" spans="1:7" x14ac:dyDescent="0.2">
      <c r="B4" s="6">
        <v>85</v>
      </c>
      <c r="C4" s="6">
        <v>1.5</v>
      </c>
    </row>
    <row r="5" spans="1:7" x14ac:dyDescent="0.2">
      <c r="A5" t="s">
        <v>19</v>
      </c>
    </row>
    <row r="6" spans="1:7" x14ac:dyDescent="0.2">
      <c r="A6" t="s">
        <v>22</v>
      </c>
      <c r="B6" s="15">
        <f>SUMPRODUCT(B4:C4,$B$3:$C$3)</f>
        <v>3770</v>
      </c>
      <c r="C6" t="str">
        <f ca="1">_xlfn.FORMULATEXT(B6)</f>
        <v>=SUMPRODUCT(B4:C4,$B$3:$C$3)</v>
      </c>
    </row>
    <row r="9" spans="1:7" x14ac:dyDescent="0.2">
      <c r="A9" s="14" t="s">
        <v>5</v>
      </c>
      <c r="B9" s="14"/>
      <c r="C9" s="14"/>
      <c r="D9" s="14" t="s">
        <v>8</v>
      </c>
      <c r="E9" s="14" t="s">
        <v>7</v>
      </c>
      <c r="F9" s="14" t="s">
        <v>6</v>
      </c>
    </row>
    <row r="10" spans="1:7" x14ac:dyDescent="0.2">
      <c r="A10" s="9" t="s">
        <v>17</v>
      </c>
      <c r="B10" s="14">
        <v>30</v>
      </c>
      <c r="C10" s="14">
        <v>0.5</v>
      </c>
      <c r="D10" s="14">
        <f>SUMPRODUCT($B$3:$C$3,B10:C10)</f>
        <v>1330</v>
      </c>
      <c r="E10" s="14" t="s">
        <v>11</v>
      </c>
      <c r="F10" s="14">
        <v>2000</v>
      </c>
      <c r="G10" t="str">
        <f ca="1">_xlfn.FORMULATEXT(D10)</f>
        <v>=SUMPRODUCT($B$3:$C$3,B10:C10)</v>
      </c>
    </row>
    <row r="11" spans="1:7" x14ac:dyDescent="0.2">
      <c r="A11" s="9" t="s">
        <v>18</v>
      </c>
      <c r="B11" s="14">
        <v>18</v>
      </c>
      <c r="C11" s="14">
        <v>0.4</v>
      </c>
      <c r="D11" s="14">
        <f t="shared" ref="D11:D12" si="0">SUMPRODUCT($B$3:$C$3,B11:C11)</f>
        <v>800</v>
      </c>
      <c r="E11" s="14" t="s">
        <v>11</v>
      </c>
      <c r="F11" s="14">
        <v>800</v>
      </c>
      <c r="G11" t="str">
        <f ca="1">_xlfn.FORMULATEXT(D11)</f>
        <v>=SUMPRODUCT($B$3:$C$3,B11:C11)</v>
      </c>
    </row>
    <row r="12" spans="1:7" x14ac:dyDescent="0.2">
      <c r="A12" s="9" t="s">
        <v>23</v>
      </c>
      <c r="B12" s="14">
        <v>2</v>
      </c>
      <c r="C12" s="14">
        <v>0.1</v>
      </c>
      <c r="D12" s="14">
        <f t="shared" si="0"/>
        <v>90</v>
      </c>
      <c r="E12" s="14" t="s">
        <v>11</v>
      </c>
      <c r="F12" s="14">
        <v>200</v>
      </c>
      <c r="G12" t="str">
        <f ca="1">_xlfn.FORMULATEXT(D12)</f>
        <v>=SUMPRODUCT($B$3:$C$3,B12:C12)</v>
      </c>
    </row>
    <row r="13" spans="1:7" x14ac:dyDescent="0.2">
      <c r="A13" s="14"/>
      <c r="B13" s="14"/>
      <c r="C13" s="14"/>
      <c r="D13" s="14"/>
      <c r="E13" s="14"/>
      <c r="F13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F267-8A5B-2A4C-9C39-A7BB975398F8}">
  <dimension ref="A1:F12"/>
  <sheetViews>
    <sheetView workbookViewId="0">
      <selection activeCell="D11" sqref="D11"/>
    </sheetView>
  </sheetViews>
  <sheetFormatPr baseColWidth="10" defaultRowHeight="16" x14ac:dyDescent="0.2"/>
  <cols>
    <col min="1" max="1" width="18.1640625" bestFit="1" customWidth="1"/>
  </cols>
  <sheetData>
    <row r="1" spans="1:6" x14ac:dyDescent="0.2">
      <c r="B1" s="2" t="s">
        <v>24</v>
      </c>
      <c r="C1" s="2" t="s">
        <v>25</v>
      </c>
    </row>
    <row r="2" spans="1:6" x14ac:dyDescent="0.2">
      <c r="A2" t="s">
        <v>1</v>
      </c>
      <c r="B2" s="3">
        <v>2</v>
      </c>
      <c r="C2" s="3">
        <v>6</v>
      </c>
    </row>
    <row r="3" spans="1:6" x14ac:dyDescent="0.2">
      <c r="B3" s="7">
        <v>5</v>
      </c>
      <c r="C3" s="7">
        <v>7</v>
      </c>
    </row>
    <row r="5" spans="1:6" x14ac:dyDescent="0.2">
      <c r="A5" t="s">
        <v>29</v>
      </c>
    </row>
    <row r="6" spans="1:6" x14ac:dyDescent="0.2">
      <c r="A6" t="s">
        <v>30</v>
      </c>
      <c r="B6" s="16">
        <f>SUMPRODUCT($B$2:$C$2,B3:C3)</f>
        <v>52</v>
      </c>
    </row>
    <row r="8" spans="1:6" x14ac:dyDescent="0.2">
      <c r="A8" s="9" t="s">
        <v>5</v>
      </c>
      <c r="B8" s="9"/>
      <c r="C8" s="9"/>
      <c r="D8" s="9" t="s">
        <v>8</v>
      </c>
      <c r="E8" s="9" t="s">
        <v>7</v>
      </c>
      <c r="F8" s="9" t="s">
        <v>6</v>
      </c>
    </row>
    <row r="9" spans="1:6" x14ac:dyDescent="0.2">
      <c r="A9" s="9" t="s">
        <v>26</v>
      </c>
      <c r="B9" s="9">
        <v>1</v>
      </c>
      <c r="C9" s="9"/>
      <c r="D9" s="9">
        <f>SUMPRODUCT($B$2:$C$2,B9:C9)</f>
        <v>2</v>
      </c>
      <c r="E9" s="9" t="s">
        <v>11</v>
      </c>
      <c r="F9" s="9">
        <v>4</v>
      </c>
    </row>
    <row r="10" spans="1:6" x14ac:dyDescent="0.2">
      <c r="A10" s="9" t="s">
        <v>27</v>
      </c>
      <c r="B10" s="9"/>
      <c r="C10" s="9">
        <v>1</v>
      </c>
      <c r="D10" s="9">
        <f t="shared" ref="D10:D11" si="0">SUMPRODUCT($B$2:$C$2,B10:C10)</f>
        <v>6</v>
      </c>
      <c r="E10" s="9" t="s">
        <v>11</v>
      </c>
      <c r="F10" s="9">
        <v>6</v>
      </c>
    </row>
    <row r="11" spans="1:6" x14ac:dyDescent="0.2">
      <c r="A11" s="9" t="s">
        <v>28</v>
      </c>
      <c r="B11" s="9">
        <v>3</v>
      </c>
      <c r="C11" s="9">
        <v>1.5</v>
      </c>
      <c r="D11" s="9">
        <f t="shared" si="0"/>
        <v>15</v>
      </c>
      <c r="E11" s="9" t="s">
        <v>11</v>
      </c>
      <c r="F11" s="9">
        <v>15</v>
      </c>
    </row>
    <row r="12" spans="1:6" x14ac:dyDescent="0.2">
      <c r="A12" s="9"/>
      <c r="B12" s="9"/>
      <c r="C12" s="9"/>
      <c r="D12" s="9"/>
      <c r="E12" s="9"/>
      <c r="F12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8FE2-D908-0D4B-B1A9-505EFA99ACE8}">
  <dimension ref="A2:L19"/>
  <sheetViews>
    <sheetView workbookViewId="0">
      <selection activeCell="B12" sqref="B12"/>
    </sheetView>
  </sheetViews>
  <sheetFormatPr baseColWidth="10" defaultRowHeight="16" x14ac:dyDescent="0.2"/>
  <cols>
    <col min="1" max="1" width="18.5" bestFit="1" customWidth="1"/>
    <col min="2" max="2" width="8.1640625" customWidth="1"/>
    <col min="3" max="4" width="8" bestFit="1" customWidth="1"/>
    <col min="5" max="6" width="9" bestFit="1" customWidth="1"/>
    <col min="7" max="8" width="8" bestFit="1" customWidth="1"/>
    <col min="11" max="11" width="12.33203125" bestFit="1" customWidth="1"/>
    <col min="12" max="12" width="11.5" bestFit="1" customWidth="1"/>
  </cols>
  <sheetData>
    <row r="2" spans="1:11" x14ac:dyDescent="0.2">
      <c r="K2" t="s">
        <v>31</v>
      </c>
    </row>
    <row r="3" spans="1:11" x14ac:dyDescent="0.2">
      <c r="K3" t="s">
        <v>32</v>
      </c>
    </row>
    <row r="4" spans="1:11" x14ac:dyDescent="0.2">
      <c r="K4" t="s">
        <v>33</v>
      </c>
    </row>
    <row r="6" spans="1:11" x14ac:dyDescent="0.2">
      <c r="J6" t="s">
        <v>41</v>
      </c>
      <c r="K6" s="17">
        <v>3000000</v>
      </c>
    </row>
    <row r="7" spans="1:11" x14ac:dyDescent="0.2">
      <c r="A7" s="8" t="s">
        <v>16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40</v>
      </c>
    </row>
    <row r="8" spans="1:11" x14ac:dyDescent="0.2">
      <c r="A8" s="8" t="s">
        <v>42</v>
      </c>
      <c r="B8" s="18">
        <v>0</v>
      </c>
      <c r="C8" s="18">
        <v>0</v>
      </c>
      <c r="D8" s="18">
        <v>1</v>
      </c>
      <c r="E8" s="18">
        <v>1</v>
      </c>
      <c r="F8" s="18">
        <v>1</v>
      </c>
      <c r="G8" s="18">
        <v>1</v>
      </c>
      <c r="H8" s="18">
        <v>0</v>
      </c>
    </row>
    <row r="9" spans="1:11" x14ac:dyDescent="0.2">
      <c r="B9" s="23">
        <v>50</v>
      </c>
      <c r="C9" s="23">
        <v>80</v>
      </c>
      <c r="D9" s="23">
        <v>90</v>
      </c>
      <c r="E9" s="23">
        <v>120</v>
      </c>
      <c r="F9" s="23">
        <v>110</v>
      </c>
      <c r="G9" s="23">
        <v>40</v>
      </c>
      <c r="H9" s="23">
        <v>75</v>
      </c>
    </row>
    <row r="11" spans="1:11" x14ac:dyDescent="0.2">
      <c r="A11" t="s">
        <v>29</v>
      </c>
    </row>
    <row r="12" spans="1:11" x14ac:dyDescent="0.2">
      <c r="A12" t="s">
        <v>43</v>
      </c>
      <c r="B12" s="22">
        <f>SUMPRODUCT($B$8:$H$8,B9:H9)</f>
        <v>360</v>
      </c>
      <c r="C12" t="s">
        <v>44</v>
      </c>
      <c r="D12" t="str">
        <f ca="1">_xlfn.FORMULATEXT(B12)</f>
        <v>=SUMPRODUCT($B$8:$H$8,B9:H9)</v>
      </c>
    </row>
    <row r="15" spans="1:11" x14ac:dyDescent="0.2">
      <c r="A15" s="19" t="s">
        <v>5</v>
      </c>
      <c r="B15" s="19"/>
      <c r="C15" s="19"/>
      <c r="D15" s="19"/>
      <c r="E15" s="19"/>
      <c r="F15" s="19"/>
      <c r="G15" s="19"/>
      <c r="H15" s="19"/>
      <c r="I15" s="19" t="s">
        <v>8</v>
      </c>
      <c r="J15" s="19" t="s">
        <v>7</v>
      </c>
      <c r="K15" s="19" t="s">
        <v>6</v>
      </c>
    </row>
    <row r="16" spans="1:11" x14ac:dyDescent="0.2">
      <c r="A16" s="9" t="s">
        <v>45</v>
      </c>
      <c r="B16" s="9">
        <v>1</v>
      </c>
      <c r="C16" s="9"/>
      <c r="D16" s="9"/>
      <c r="E16" s="9">
        <v>1</v>
      </c>
      <c r="F16" s="9">
        <v>1</v>
      </c>
      <c r="G16" s="9"/>
      <c r="H16" s="9"/>
      <c r="I16" s="9">
        <f>SUMPRODUCT($B$8:$H$8,B16:H16)</f>
        <v>2</v>
      </c>
      <c r="J16" s="9" t="s">
        <v>12</v>
      </c>
      <c r="K16" s="9">
        <v>2</v>
      </c>
    </row>
    <row r="17" spans="1:12" x14ac:dyDescent="0.2">
      <c r="A17" s="9" t="s">
        <v>46</v>
      </c>
      <c r="B17" s="9"/>
      <c r="C17" s="9">
        <v>1</v>
      </c>
      <c r="D17" s="9">
        <v>1</v>
      </c>
      <c r="E17" s="9"/>
      <c r="F17" s="9"/>
      <c r="G17" s="9"/>
      <c r="H17" s="9"/>
      <c r="I17" s="9">
        <f t="shared" ref="I17:I19" si="0">SUMPRODUCT($B$8:$H$8,B17:H17)</f>
        <v>1</v>
      </c>
      <c r="J17" s="9" t="s">
        <v>11</v>
      </c>
      <c r="K17" s="9">
        <v>1</v>
      </c>
    </row>
    <row r="18" spans="1:12" x14ac:dyDescent="0.2">
      <c r="A18" s="9" t="s">
        <v>47</v>
      </c>
      <c r="B18" s="9"/>
      <c r="C18" s="9"/>
      <c r="D18" s="9"/>
      <c r="E18" s="9"/>
      <c r="F18" s="9"/>
      <c r="G18" s="9">
        <v>1</v>
      </c>
      <c r="H18" s="9">
        <v>1</v>
      </c>
      <c r="I18" s="9">
        <f t="shared" si="0"/>
        <v>1</v>
      </c>
      <c r="J18" s="9" t="s">
        <v>49</v>
      </c>
      <c r="K18" s="9">
        <v>1</v>
      </c>
    </row>
    <row r="19" spans="1:12" x14ac:dyDescent="0.2">
      <c r="A19" s="9" t="s">
        <v>48</v>
      </c>
      <c r="B19" s="21">
        <v>480</v>
      </c>
      <c r="C19" s="21">
        <v>540</v>
      </c>
      <c r="D19" s="21">
        <v>680</v>
      </c>
      <c r="E19" s="21">
        <v>1000</v>
      </c>
      <c r="F19" s="21">
        <v>700</v>
      </c>
      <c r="G19" s="21">
        <v>510</v>
      </c>
      <c r="H19" s="21">
        <v>900</v>
      </c>
      <c r="I19" s="21">
        <f t="shared" si="0"/>
        <v>2890</v>
      </c>
      <c r="J19" s="9" t="s">
        <v>11</v>
      </c>
      <c r="K19" s="9">
        <v>3000</v>
      </c>
      <c r="L19" s="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E5CA-9AA8-9A4A-AEC5-98C9C720484A}">
  <dimension ref="A3:J20"/>
  <sheetViews>
    <sheetView tabSelected="1" workbookViewId="0">
      <selection activeCell="M51" sqref="M51"/>
    </sheetView>
  </sheetViews>
  <sheetFormatPr baseColWidth="10" defaultRowHeight="16" x14ac:dyDescent="0.2"/>
  <cols>
    <col min="1" max="1" width="15.33203125" bestFit="1" customWidth="1"/>
  </cols>
  <sheetData>
    <row r="3" spans="1:10" x14ac:dyDescent="0.2">
      <c r="A3" s="8" t="s">
        <v>1</v>
      </c>
      <c r="B3" s="9" t="s">
        <v>52</v>
      </c>
      <c r="C3" s="9" t="s">
        <v>35</v>
      </c>
      <c r="D3" s="9" t="s">
        <v>36</v>
      </c>
      <c r="E3" s="9" t="s">
        <v>37</v>
      </c>
      <c r="F3" s="9" t="s">
        <v>38</v>
      </c>
      <c r="G3" s="9" t="s">
        <v>39</v>
      </c>
      <c r="H3" s="2"/>
      <c r="I3" s="2"/>
    </row>
    <row r="4" spans="1:10" x14ac:dyDescent="0.2">
      <c r="A4" s="8"/>
      <c r="B4" s="18">
        <v>1</v>
      </c>
      <c r="C4" s="18">
        <v>1</v>
      </c>
      <c r="D4" s="18">
        <v>0</v>
      </c>
      <c r="E4" s="18">
        <v>1</v>
      </c>
      <c r="F4" s="18">
        <v>0</v>
      </c>
      <c r="G4" s="18">
        <v>0</v>
      </c>
    </row>
    <row r="5" spans="1:10" x14ac:dyDescent="0.2">
      <c r="B5">
        <v>3</v>
      </c>
      <c r="C5">
        <v>3</v>
      </c>
      <c r="D5">
        <v>4</v>
      </c>
      <c r="E5">
        <v>3</v>
      </c>
      <c r="F5">
        <v>3</v>
      </c>
      <c r="G5">
        <v>3</v>
      </c>
    </row>
    <row r="7" spans="1:10" x14ac:dyDescent="0.2">
      <c r="A7" t="s">
        <v>50</v>
      </c>
    </row>
    <row r="8" spans="1:10" x14ac:dyDescent="0.2">
      <c r="A8" t="s">
        <v>51</v>
      </c>
      <c r="B8" s="24">
        <f>SUM(B4:G4)</f>
        <v>3</v>
      </c>
    </row>
    <row r="11" spans="1:10" x14ac:dyDescent="0.2">
      <c r="A11" s="9" t="s">
        <v>5</v>
      </c>
      <c r="B11" s="9"/>
      <c r="C11" s="9"/>
      <c r="D11" s="9"/>
      <c r="E11" s="9"/>
      <c r="F11" s="9"/>
      <c r="G11" s="9"/>
      <c r="H11" s="9" t="s">
        <v>8</v>
      </c>
      <c r="I11" s="9" t="s">
        <v>7</v>
      </c>
      <c r="J11" s="9" t="s">
        <v>6</v>
      </c>
    </row>
    <row r="12" spans="1:10" x14ac:dyDescent="0.2">
      <c r="A12" s="9" t="s">
        <v>17</v>
      </c>
      <c r="B12" s="9">
        <v>1</v>
      </c>
      <c r="C12" s="9"/>
      <c r="D12" s="9"/>
      <c r="E12" s="9"/>
      <c r="F12" s="9"/>
      <c r="G12" s="9">
        <v>1</v>
      </c>
      <c r="H12" s="9">
        <f>SUMPRODUCT($B$4:$G$4,B12:G12)</f>
        <v>1</v>
      </c>
      <c r="I12" s="9" t="s">
        <v>49</v>
      </c>
      <c r="J12" s="9">
        <v>1</v>
      </c>
    </row>
    <row r="13" spans="1:10" x14ac:dyDescent="0.2">
      <c r="A13" s="9" t="s">
        <v>18</v>
      </c>
      <c r="B13" s="9"/>
      <c r="C13" s="9">
        <v>1</v>
      </c>
      <c r="D13" s="9">
        <v>1</v>
      </c>
      <c r="E13" s="9"/>
      <c r="F13" s="9"/>
      <c r="G13" s="9"/>
      <c r="H13" s="9">
        <f t="shared" ref="H13:H19" si="0">SUMPRODUCT($B$4:$G$4,B13:G13)</f>
        <v>1</v>
      </c>
      <c r="I13" s="9" t="s">
        <v>49</v>
      </c>
      <c r="J13" s="9">
        <v>1</v>
      </c>
    </row>
    <row r="14" spans="1:10" x14ac:dyDescent="0.2">
      <c r="A14" s="9" t="s">
        <v>23</v>
      </c>
      <c r="B14" s="9">
        <v>1</v>
      </c>
      <c r="C14" s="9"/>
      <c r="D14" s="9">
        <v>1</v>
      </c>
      <c r="E14" s="9"/>
      <c r="F14" s="9"/>
      <c r="G14" s="9"/>
      <c r="H14" s="9">
        <f t="shared" si="0"/>
        <v>1</v>
      </c>
      <c r="I14" s="9" t="s">
        <v>49</v>
      </c>
      <c r="J14" s="9">
        <v>1</v>
      </c>
    </row>
    <row r="15" spans="1:10" x14ac:dyDescent="0.2">
      <c r="A15" s="9" t="s">
        <v>53</v>
      </c>
      <c r="B15" s="9">
        <v>1</v>
      </c>
      <c r="C15" s="9">
        <v>1</v>
      </c>
      <c r="D15" s="9"/>
      <c r="E15" s="9"/>
      <c r="F15" s="9">
        <v>1</v>
      </c>
      <c r="G15" s="9">
        <v>1</v>
      </c>
      <c r="H15" s="9">
        <f t="shared" si="0"/>
        <v>2</v>
      </c>
      <c r="I15" s="9" t="s">
        <v>49</v>
      </c>
      <c r="J15" s="9">
        <v>1</v>
      </c>
    </row>
    <row r="16" spans="1:10" x14ac:dyDescent="0.2">
      <c r="A16" s="9" t="s">
        <v>54</v>
      </c>
      <c r="B16" s="9"/>
      <c r="C16" s="9"/>
      <c r="D16" s="9">
        <v>1</v>
      </c>
      <c r="E16" s="9">
        <v>1</v>
      </c>
      <c r="F16" s="9"/>
      <c r="G16" s="9"/>
      <c r="H16" s="9">
        <f t="shared" si="0"/>
        <v>1</v>
      </c>
      <c r="I16" s="9" t="s">
        <v>49</v>
      </c>
      <c r="J16" s="9">
        <v>1</v>
      </c>
    </row>
    <row r="17" spans="1:10" x14ac:dyDescent="0.2">
      <c r="A17" s="9" t="s">
        <v>55</v>
      </c>
      <c r="B17" s="9"/>
      <c r="C17" s="9"/>
      <c r="D17" s="9">
        <v>1</v>
      </c>
      <c r="E17" s="9">
        <v>1</v>
      </c>
      <c r="F17" s="9"/>
      <c r="G17" s="9">
        <v>1</v>
      </c>
      <c r="H17" s="9">
        <f t="shared" si="0"/>
        <v>1</v>
      </c>
      <c r="I17" s="9" t="s">
        <v>49</v>
      </c>
      <c r="J17" s="9">
        <v>1</v>
      </c>
    </row>
    <row r="18" spans="1:10" x14ac:dyDescent="0.2">
      <c r="A18" s="9" t="s">
        <v>56</v>
      </c>
      <c r="B18" s="9"/>
      <c r="C18" s="9">
        <v>1</v>
      </c>
      <c r="D18" s="9"/>
      <c r="E18" s="9"/>
      <c r="F18" s="9">
        <v>1</v>
      </c>
      <c r="G18" s="9"/>
      <c r="H18" s="9">
        <f t="shared" si="0"/>
        <v>1</v>
      </c>
      <c r="I18" s="9" t="s">
        <v>49</v>
      </c>
      <c r="J18" s="9">
        <v>1</v>
      </c>
    </row>
    <row r="19" spans="1:10" x14ac:dyDescent="0.2">
      <c r="A19" s="9" t="s">
        <v>57</v>
      </c>
      <c r="B19" s="9"/>
      <c r="C19" s="9"/>
      <c r="D19" s="9"/>
      <c r="E19" s="9">
        <v>1</v>
      </c>
      <c r="F19" s="9">
        <v>1</v>
      </c>
      <c r="G19" s="9"/>
      <c r="H19" s="9">
        <f t="shared" si="0"/>
        <v>1</v>
      </c>
      <c r="I19" s="9" t="s">
        <v>49</v>
      </c>
      <c r="J19" s="9">
        <v>1</v>
      </c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Princess Brides</vt:lpstr>
      <vt:lpstr>Bolsa de Cafe</vt:lpstr>
      <vt:lpstr>Art Posters</vt:lpstr>
      <vt:lpstr>Binary Investment Decision</vt:lpstr>
      <vt:lpstr>Horizon Wireless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Dean-Jones</dc:creator>
  <cp:lastModifiedBy>Aidan Dean-Jones</cp:lastModifiedBy>
  <dcterms:created xsi:type="dcterms:W3CDTF">2024-11-20T18:13:41Z</dcterms:created>
  <dcterms:modified xsi:type="dcterms:W3CDTF">2024-12-17T19:15:24Z</dcterms:modified>
</cp:coreProperties>
</file>