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/Documents/"/>
    </mc:Choice>
  </mc:AlternateContent>
  <xr:revisionPtr revIDLastSave="0" documentId="8_{4BE8E441-99E7-BA4B-B124-3C9433383E22}" xr6:coauthVersionLast="47" xr6:coauthVersionMax="47" xr10:uidLastSave="{00000000-0000-0000-0000-000000000000}"/>
  <bookViews>
    <workbookView xWindow="18060" yWindow="2200" windowWidth="27640" windowHeight="16940" activeTab="4" xr2:uid="{CE1BAF54-E925-9948-9AE4-8D91A08F72AC}"/>
  </bookViews>
  <sheets>
    <sheet name="PB&amp;J" sheetId="1" r:id="rId1"/>
    <sheet name="Motorcross Snowmobiles" sheetId="2" r:id="rId2"/>
    <sheet name="Baseball Stadium" sheetId="3" r:id="rId3"/>
    <sheet name="Part 1" sheetId="4" r:id="rId4"/>
    <sheet name="Part 2" sheetId="5" r:id="rId5"/>
  </sheets>
  <definedNames>
    <definedName name="solver_adj" localSheetId="2" hidden="1">'Baseball Stadium'!$B$3</definedName>
    <definedName name="solver_adj" localSheetId="1" hidden="1">'Motorcross Snowmobiles'!$B$4:$C$4</definedName>
    <definedName name="solver_adj" localSheetId="3" hidden="1">'Part 1'!$B$3:$C$3</definedName>
    <definedName name="solver_adj" localSheetId="4" hidden="1">'Part 2'!$B$4</definedName>
    <definedName name="solver_adj" localSheetId="0" hidden="1">'PB&amp;J'!$B$3:$C$3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eng" localSheetId="2" hidden="1">1</definedName>
    <definedName name="solver_eng" localSheetId="1" hidden="1">1</definedName>
    <definedName name="solver_eng" localSheetId="3" hidden="1">2</definedName>
    <definedName name="solver_eng" localSheetId="4" hidden="1">1</definedName>
    <definedName name="solver_eng" localSheetId="0" hidden="1">1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lhs1" localSheetId="1" hidden="1">'Motorcross Snowmobiles'!$B$4:$C$4</definedName>
    <definedName name="solver_lhs1" localSheetId="3" hidden="1">'Part 1'!$B$3:$C$3</definedName>
    <definedName name="solver_lhs1" localSheetId="4" hidden="1">'Part 2'!$B$4</definedName>
    <definedName name="solver_lhs1" localSheetId="0" hidden="1">'PB&amp;J'!$D$14</definedName>
    <definedName name="solver_lhs2" localSheetId="1" hidden="1">'Motorcross Snowmobiles'!$D$17</definedName>
    <definedName name="solver_lhs2" localSheetId="3" hidden="1">'Part 1'!$D$10:$D$11</definedName>
    <definedName name="solver_lhs2" localSheetId="0" hidden="1">'PB&amp;J'!$D$15</definedName>
    <definedName name="solver_lin" localSheetId="2" hidden="1">2</definedName>
    <definedName name="solver_lin" localSheetId="1" hidden="1">2</definedName>
    <definedName name="solver_lin" localSheetId="3" hidden="1">1</definedName>
    <definedName name="solver_lin" localSheetId="4" hidden="1">2</definedName>
    <definedName name="solver_lin" localSheetId="0" hidden="1">2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um" localSheetId="2" hidden="1">0</definedName>
    <definedName name="solver_num" localSheetId="1" hidden="1">2</definedName>
    <definedName name="solver_num" localSheetId="3" hidden="1">2</definedName>
    <definedName name="solver_num" localSheetId="4" hidden="1">1</definedName>
    <definedName name="solver_num" localSheetId="0" hidden="1">2</definedName>
    <definedName name="solver_opt" localSheetId="2" hidden="1">'Baseball Stadium'!$B$11</definedName>
    <definedName name="solver_opt" localSheetId="1" hidden="1">'Motorcross Snowmobiles'!$B$14</definedName>
    <definedName name="solver_opt" localSheetId="3" hidden="1">'Part 1'!$B$7</definedName>
    <definedName name="solver_opt" localSheetId="4" hidden="1">'Part 2'!$B$14</definedName>
    <definedName name="solver_opt" localSheetId="0" hidden="1">'PB&amp;J'!$B$11</definedName>
    <definedName name="solver_pre" localSheetId="2" hidden="1">0.000001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el1" localSheetId="1" hidden="1">4</definedName>
    <definedName name="solver_rel1" localSheetId="3" hidden="1">4</definedName>
    <definedName name="solver_rel1" localSheetId="4" hidden="1">4</definedName>
    <definedName name="solver_rel1" localSheetId="0" hidden="1">2</definedName>
    <definedName name="solver_rel2" localSheetId="1" hidden="1">1</definedName>
    <definedName name="solver_rel2" localSheetId="3" hidden="1">1</definedName>
    <definedName name="solver_rel2" localSheetId="0" hidden="1">3</definedName>
    <definedName name="solver_rhs1" localSheetId="1" hidden="1">"integer"</definedName>
    <definedName name="solver_rhs1" localSheetId="3" hidden="1">"integer"</definedName>
    <definedName name="solver_rhs1" localSheetId="4" hidden="1">"integer"</definedName>
    <definedName name="solver_rhs1" localSheetId="0" hidden="1">'PB&amp;J'!$F$14</definedName>
    <definedName name="solver_rhs2" localSheetId="1" hidden="1">'Motorcross Snowmobiles'!$F$17</definedName>
    <definedName name="solver_rhs2" localSheetId="3" hidden="1">'Part 1'!$F$10:$F$11</definedName>
    <definedName name="solver_rhs2" localSheetId="0" hidden="1">'PB&amp;J'!$F$15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3" hidden="1">1</definedName>
    <definedName name="solver_scl" localSheetId="4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yp" localSheetId="2" hidden="1">1</definedName>
    <definedName name="solver_typ" localSheetId="1" hidden="1">1</definedName>
    <definedName name="solver_typ" localSheetId="3" hidden="1">1</definedName>
    <definedName name="solver_typ" localSheetId="4" hidden="1">1</definedName>
    <definedName name="solver_typ" localSheetId="0" hidden="1">2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er" localSheetId="2" hidden="1">2</definedName>
    <definedName name="solver_ver" localSheetId="1" hidden="1">2</definedName>
    <definedName name="solver_ver" localSheetId="3" hidden="1">2</definedName>
    <definedName name="solver_ver" localSheetId="4" hidden="1">2</definedName>
    <definedName name="solver_ver" localSheetId="0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C4" i="5"/>
  <c r="B6" i="5" s="1"/>
  <c r="B7" i="3"/>
  <c r="D11" i="4"/>
  <c r="D10" i="4"/>
  <c r="B7" i="4"/>
  <c r="B8" i="3"/>
  <c r="B2" i="3"/>
  <c r="B10" i="3" s="1"/>
  <c r="B11" i="3" s="1"/>
  <c r="D17" i="2"/>
  <c r="C7" i="2"/>
  <c r="B7" i="2"/>
  <c r="D15" i="1"/>
  <c r="D14" i="1"/>
  <c r="D7" i="1"/>
  <c r="C7" i="1"/>
  <c r="B7" i="1"/>
  <c r="C11" i="3"/>
  <c r="C10" i="3"/>
  <c r="C2" i="3"/>
  <c r="C8" i="3"/>
  <c r="C7" i="3"/>
  <c r="C11" i="1"/>
  <c r="C10" i="5"/>
  <c r="C14" i="5"/>
  <c r="D4" i="5"/>
  <c r="B14" i="5" l="1"/>
  <c r="B14" i="2"/>
  <c r="B11" i="1"/>
</calcChain>
</file>

<file path=xl/sharedStrings.xml><?xml version="1.0" encoding="utf-8"?>
<sst xmlns="http://schemas.openxmlformats.org/spreadsheetml/2006/main" count="72" uniqueCount="58">
  <si>
    <t>PB&amp;J</t>
  </si>
  <si>
    <t>Variables</t>
  </si>
  <si>
    <t>X</t>
  </si>
  <si>
    <t>Y</t>
  </si>
  <si>
    <t>Objective(max)</t>
  </si>
  <si>
    <t>Objective (min)</t>
  </si>
  <si>
    <t>Variance</t>
  </si>
  <si>
    <t>Constraint</t>
  </si>
  <si>
    <t>Non-Linear Vars:</t>
  </si>
  <si>
    <t>X^2</t>
  </si>
  <si>
    <t>XY</t>
  </si>
  <si>
    <t>Y^2</t>
  </si>
  <si>
    <t>Formulas</t>
  </si>
  <si>
    <t>LHS</t>
  </si>
  <si>
    <t>Sign</t>
  </si>
  <si>
    <t>RHS</t>
  </si>
  <si>
    <t>all funds invested</t>
  </si>
  <si>
    <t>=</t>
  </si>
  <si>
    <t>Exp. Return 9%</t>
  </si>
  <si>
    <t>&gt;=</t>
  </si>
  <si>
    <t>Motorcross of Wisonsin</t>
  </si>
  <si>
    <t>Variables:</t>
  </si>
  <si>
    <t>Revenue:</t>
  </si>
  <si>
    <t>(4-0.1X)</t>
  </si>
  <si>
    <t>(5-0.02Y)</t>
  </si>
  <si>
    <t>(000)s</t>
  </si>
  <si>
    <t>Constraints</t>
  </si>
  <si>
    <t>Testing Hours cannot be more than 40</t>
  </si>
  <si>
    <t>&lt;=</t>
  </si>
  <si>
    <t>4 - .1x</t>
  </si>
  <si>
    <t>5 - .02Y</t>
  </si>
  <si>
    <t>Objective (max)</t>
  </si>
  <si>
    <t>Profit</t>
  </si>
  <si>
    <t xml:space="preserve">(p) = </t>
  </si>
  <si>
    <t xml:space="preserve">Price Propose (Px) = </t>
  </si>
  <si>
    <t xml:space="preserve">Hot Dog sold (demand) = </t>
  </si>
  <si>
    <t>Fixed Cost=</t>
  </si>
  <si>
    <t>Variable Cost=</t>
  </si>
  <si>
    <t>Total Cost=</t>
  </si>
  <si>
    <t xml:space="preserve">Revenue= </t>
  </si>
  <si>
    <t>Profit=</t>
  </si>
  <si>
    <t>Textbook Company</t>
  </si>
  <si>
    <t>G</t>
  </si>
  <si>
    <t>C</t>
  </si>
  <si>
    <t>Constraints:</t>
  </si>
  <si>
    <t>Max 360 Hrs Assembly</t>
  </si>
  <si>
    <t>Max 240 Hrs Proofing</t>
  </si>
  <si>
    <t>Objective (Max)</t>
  </si>
  <si>
    <t>Profit:</t>
  </si>
  <si>
    <t>M&amp;T Stadium</t>
  </si>
  <si>
    <t>Variable</t>
  </si>
  <si>
    <t>Quantity (demand is x)</t>
  </si>
  <si>
    <t>Price</t>
  </si>
  <si>
    <r>
      <t>Formula</t>
    </r>
    <r>
      <rPr>
        <sz val="12"/>
        <color theme="1"/>
        <rFont val="Aptos Narrow"/>
        <scheme val="minor"/>
      </rPr>
      <t xml:space="preserve"> </t>
    </r>
  </si>
  <si>
    <t>Costs</t>
  </si>
  <si>
    <t>Revenue</t>
  </si>
  <si>
    <t>Fixed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</si>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</sst>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_(&quot;$&quot;* #,##0_);_(&quot;$&quot;* \(#,##0\);_(&quot;$&quot;* &quot;-&quot;??_);_(@_)"/>
    <numFmt numFmtId="166" formatCode="_(&quot;$&quot;* #,##0.00_);_(&quot;$&quot;* \(#,##0.00\);_(&quot;$&quot;* &quot;-&quot;??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3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2" borderId="0" xfId="2" applyFont="1" applyFill="1"/>
    <xf numFmtId="9" fontId="0" fillId="0" borderId="1" xfId="2" applyFont="1" applyBorder="1" applyAlignment="1">
      <alignment horizontal="center"/>
    </xf>
    <xf numFmtId="164" fontId="0" fillId="3" borderId="0" xfId="0" applyNumberFormat="1" applyFill="1"/>
    <xf numFmtId="0" fontId="0" fillId="3" borderId="0" xfId="0" applyFill="1"/>
    <xf numFmtId="0" fontId="4" fillId="0" borderId="0" xfId="0" applyFont="1" applyAlignment="1">
      <alignment horizontal="center"/>
    </xf>
    <xf numFmtId="44" fontId="0" fillId="0" borderId="0" xfId="1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44" fontId="3" fillId="0" borderId="0" xfId="1" applyFont="1" applyFill="1"/>
    <xf numFmtId="44" fontId="0" fillId="0" borderId="0" xfId="0" applyNumberFormat="1"/>
    <xf numFmtId="4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right"/>
    </xf>
    <xf numFmtId="165" fontId="0" fillId="3" borderId="0" xfId="1" applyNumberFormat="1" applyFont="1" applyFill="1"/>
    <xf numFmtId="44" fontId="3" fillId="0" borderId="0" xfId="0" applyNumberFormat="1" applyFont="1"/>
    <xf numFmtId="44" fontId="4" fillId="0" borderId="0" xfId="1" applyFont="1" applyFill="1"/>
    <xf numFmtId="44" fontId="1" fillId="0" borderId="0" xfId="1" applyFont="1" applyFill="1"/>
    <xf numFmtId="0" fontId="5" fillId="0" borderId="0" xfId="0" applyFont="1"/>
    <xf numFmtId="0" fontId="5" fillId="0" borderId="0" xfId="0" applyFont="1" applyAlignment="1">
      <alignment horizontal="center"/>
    </xf>
    <xf numFmtId="44" fontId="0" fillId="3" borderId="0" xfId="0" applyNumberFormat="1" applyFill="1"/>
    <xf numFmtId="0" fontId="1" fillId="2" borderId="0" xfId="1" applyNumberFormat="1" applyFont="1" applyFill="1"/>
    <xf numFmtId="0" fontId="6" fillId="0" borderId="0" xfId="0" applyFont="1"/>
    <xf numFmtId="166" fontId="0" fillId="0" borderId="0" xfId="0" applyNumberFormat="1"/>
  </cellXfs>
  <cellStyles count="4">
    <cellStyle name="Currency" xfId="1" builtinId="4"/>
    <cellStyle name="Normal" xfId="0" builtinId="0"/>
    <cellStyle name="Percent" xfId="2" builtinId="5"/>
    <cellStyle name="Title" xfId="3" builtinId="1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812800</xdr:colOff>
      <xdr:row>6</xdr:row>
      <xdr:rowOff>139700</xdr:rowOff>
    </xdr:from>
    <xdr:to>
      <xdr:col>16</xdr:col>
      <xdr:colOff>330200</xdr:colOff>
      <xdr:row>21</xdr:row>
      <xdr:rowOff>133880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B96A9-12DE-865C-D870-955F24310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0" y="1460500"/>
          <a:ext cx="7772400" cy="3042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7</xdr:row>
      <xdr:rowOff>63500</xdr:rowOff>
    </xdr:from>
    <xdr:to>
      <xdr:col>16</xdr:col>
      <xdr:colOff>609600</xdr:colOff>
      <xdr:row>19</xdr:row>
      <xdr:rowOff>125716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23924-EBA8-4DCF-985A-C0967CC3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5400" y="1587500"/>
          <a:ext cx="7772400" cy="2487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12</xdr:row>
      <xdr:rowOff>25400</xdr:rowOff>
    </xdr:from>
    <xdr:to>
      <xdr:col>7</xdr:col>
      <xdr:colOff>673100</xdr:colOff>
      <xdr:row>21</xdr:row>
      <xdr:rowOff>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5DF55-7FD8-C448-6564-0894AB5D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2463800"/>
          <a:ext cx="7772400" cy="1803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18</xdr:row>
      <xdr:rowOff>88900</xdr:rowOff>
    </xdr:from>
    <xdr:to>
      <xdr:col>16</xdr:col>
      <xdr:colOff>88900</xdr:colOff>
      <xdr:row>24</xdr:row>
      <xdr:rowOff>193727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5575A-8CF7-4E58-8EFC-6FE31409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0" y="3848100"/>
          <a:ext cx="7772400" cy="13240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774700</xdr:colOff>
      <xdr:row>7</xdr:row>
      <xdr:rowOff>63500</xdr:rowOff>
    </xdr:from>
    <xdr:to>
      <xdr:col>14</xdr:col>
      <xdr:colOff>292100</xdr:colOff>
      <xdr:row>15</xdr:row>
      <xdr:rowOff>60558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21790-674C-F471-128B-E8028DDAF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1587500"/>
          <a:ext cx="7772400" cy="162265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E173-1BA9-5C48-BF7A-B99A0174D75A}">
  <dimension ref="A1:F16"/>
  <sheetViews>
    <sheetView workbookViewId="0">
      <selection activeCell="B8" sqref="B8"/>
    </sheetView>
  </sheetViews>
  <sheetFormatPr baseColWidth="10" defaultRowHeight="16" x14ac:dyDescent="0.2"/>
  <cols>
    <col min="1" max="1" width="15" bestFit="1" customWidth="1"/>
    <col min="2" max="2" width="12.6640625" bestFit="1" customWidth="1"/>
  </cols>
  <sheetData>
    <row r="1" spans="1:6" ht="24" x14ac:dyDescent="0.3">
      <c r="A1" s="1" t="s">
        <v>0</v>
      </c>
    </row>
    <row r="2" spans="1:6" x14ac:dyDescent="0.2">
      <c r="A2" t="s">
        <v>1</v>
      </c>
      <c r="B2" s="2" t="s">
        <v>2</v>
      </c>
      <c r="C2" s="2" t="s">
        <v>3</v>
      </c>
    </row>
    <row r="3" spans="1:6" x14ac:dyDescent="0.2">
      <c r="B3" s="6">
        <v>0.9302331998342539</v>
      </c>
      <c r="C3" s="6">
        <v>6.9767485924401129E-2</v>
      </c>
    </row>
    <row r="5" spans="1:6" x14ac:dyDescent="0.2">
      <c r="A5" t="s">
        <v>8</v>
      </c>
    </row>
    <row r="6" spans="1:6" x14ac:dyDescent="0.2">
      <c r="A6" s="4"/>
      <c r="B6" s="5" t="s">
        <v>9</v>
      </c>
      <c r="C6" s="5" t="s">
        <v>10</v>
      </c>
      <c r="D6" s="5" t="s">
        <v>11</v>
      </c>
    </row>
    <row r="7" spans="1:6" x14ac:dyDescent="0.2">
      <c r="A7" s="4" t="s">
        <v>12</v>
      </c>
      <c r="B7" s="5">
        <f>B3^2</f>
        <v>0.865333806073875</v>
      </c>
      <c r="C7" s="5">
        <f>B3*C3</f>
        <v>6.4900031675846931E-2</v>
      </c>
      <c r="D7" s="5">
        <f>C3^2</f>
        <v>4.8675020922115094E-3</v>
      </c>
    </row>
    <row r="8" spans="1:6" x14ac:dyDescent="0.2">
      <c r="A8" s="4"/>
      <c r="B8" s="5">
        <v>0.16</v>
      </c>
      <c r="C8" s="5">
        <v>0.2</v>
      </c>
      <c r="D8" s="5">
        <v>0.9</v>
      </c>
    </row>
    <row r="10" spans="1:6" x14ac:dyDescent="0.2">
      <c r="A10" t="s">
        <v>5</v>
      </c>
    </row>
    <row r="11" spans="1:6" x14ac:dyDescent="0.2">
      <c r="A11" t="s">
        <v>6</v>
      </c>
      <c r="B11" s="8">
        <f>SUMPRODUCT(B7:D7,B8:D8)</f>
        <v>0.15581416718997976</v>
      </c>
      <c r="C11" t="str">
        <f ca="1">_xlfn.FORMULATEXT(B11)</f>
        <v>=SUMPRODUCT(B7:D7,B8:D8)</v>
      </c>
    </row>
    <row r="13" spans="1:6" x14ac:dyDescent="0.2">
      <c r="A13" s="5" t="s">
        <v>7</v>
      </c>
      <c r="B13" s="5"/>
      <c r="C13" s="5"/>
      <c r="D13" s="5" t="s">
        <v>13</v>
      </c>
      <c r="E13" s="5" t="s">
        <v>14</v>
      </c>
      <c r="F13" s="5" t="s">
        <v>15</v>
      </c>
    </row>
    <row r="14" spans="1:6" x14ac:dyDescent="0.2">
      <c r="A14" s="5" t="s">
        <v>16</v>
      </c>
      <c r="B14" s="5">
        <v>1</v>
      </c>
      <c r="C14" s="5">
        <v>1</v>
      </c>
      <c r="D14" s="7">
        <f>SUMPRODUCT($B$3:$C$3,B14:C14)</f>
        <v>1.000000685758655</v>
      </c>
      <c r="E14" s="5" t="s">
        <v>17</v>
      </c>
      <c r="F14" s="7">
        <v>1</v>
      </c>
    </row>
    <row r="15" spans="1:6" x14ac:dyDescent="0.2">
      <c r="A15" s="5" t="s">
        <v>18</v>
      </c>
      <c r="B15" s="7">
        <v>0.11</v>
      </c>
      <c r="C15" s="7">
        <v>0.08</v>
      </c>
      <c r="D15" s="7">
        <f>SUMPRODUCT($B$3:$C$3,B15:C15)</f>
        <v>0.10790705085572003</v>
      </c>
      <c r="E15" s="5" t="s">
        <v>19</v>
      </c>
      <c r="F15" s="7">
        <v>0.09</v>
      </c>
    </row>
    <row r="16" spans="1:6" x14ac:dyDescent="0.2">
      <c r="A16" s="5"/>
      <c r="B16" s="5"/>
      <c r="C16" s="5"/>
      <c r="D16" s="5"/>
      <c r="E16" s="5"/>
      <c r="F16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661A-893B-7C4F-96D3-0833744A2C32}">
  <dimension ref="A1:F19"/>
  <sheetViews>
    <sheetView workbookViewId="0">
      <selection activeCell="E24" sqref="E24"/>
    </sheetView>
  </sheetViews>
  <sheetFormatPr baseColWidth="10" defaultRowHeight="16" x14ac:dyDescent="0.2"/>
  <cols>
    <col min="1" max="1" width="31.83203125" bestFit="1" customWidth="1"/>
  </cols>
  <sheetData>
    <row r="1" spans="1:6" ht="24" x14ac:dyDescent="0.3">
      <c r="A1" s="1" t="s">
        <v>20</v>
      </c>
    </row>
    <row r="3" spans="1:6" x14ac:dyDescent="0.2">
      <c r="A3" t="s">
        <v>21</v>
      </c>
      <c r="B3" s="2" t="s">
        <v>2</v>
      </c>
      <c r="C3" s="2" t="s">
        <v>3</v>
      </c>
      <c r="D3" s="2" t="s">
        <v>29</v>
      </c>
      <c r="E3" s="2" t="s">
        <v>30</v>
      </c>
    </row>
    <row r="4" spans="1:6" x14ac:dyDescent="0.2">
      <c r="B4" s="3">
        <v>10</v>
      </c>
      <c r="C4" s="3">
        <v>15</v>
      </c>
    </row>
    <row r="6" spans="1:6" x14ac:dyDescent="0.2">
      <c r="A6" s="4" t="s">
        <v>8</v>
      </c>
      <c r="B6" s="5" t="s">
        <v>23</v>
      </c>
      <c r="C6" s="5" t="s">
        <v>24</v>
      </c>
      <c r="D6" s="2"/>
      <c r="E6" s="2"/>
    </row>
    <row r="7" spans="1:6" x14ac:dyDescent="0.2">
      <c r="A7" s="4" t="s">
        <v>12</v>
      </c>
      <c r="B7">
        <f>4-0.1*B4</f>
        <v>3</v>
      </c>
      <c r="C7" s="5">
        <f>5-0.02*C4</f>
        <v>4.7</v>
      </c>
      <c r="D7" s="2"/>
      <c r="E7" s="2"/>
    </row>
    <row r="8" spans="1:6" x14ac:dyDescent="0.2">
      <c r="A8" s="4"/>
      <c r="B8" s="5"/>
      <c r="C8" s="5"/>
      <c r="D8" s="2"/>
      <c r="E8" s="2"/>
    </row>
    <row r="13" spans="1:6" x14ac:dyDescent="0.2">
      <c r="A13" t="s">
        <v>4</v>
      </c>
    </row>
    <row r="14" spans="1:6" x14ac:dyDescent="0.2">
      <c r="A14" t="s">
        <v>22</v>
      </c>
      <c r="B14" s="9">
        <f>SUMPRODUCT($B$4:$C$4,B7:C7)</f>
        <v>100.5</v>
      </c>
      <c r="C14" t="s">
        <v>25</v>
      </c>
    </row>
    <row r="15" spans="1:6" ht="15" customHeight="1" x14ac:dyDescent="0.2"/>
    <row r="16" spans="1:6" x14ac:dyDescent="0.2">
      <c r="A16" s="4" t="s">
        <v>26</v>
      </c>
      <c r="B16" s="4"/>
      <c r="C16" s="4"/>
      <c r="D16" s="5" t="s">
        <v>13</v>
      </c>
      <c r="E16" s="5" t="s">
        <v>14</v>
      </c>
      <c r="F16" s="5" t="s">
        <v>15</v>
      </c>
    </row>
    <row r="17" spans="1:6" x14ac:dyDescent="0.2">
      <c r="A17" s="5" t="s">
        <v>27</v>
      </c>
      <c r="B17" s="5">
        <v>1</v>
      </c>
      <c r="C17" s="5">
        <v>2</v>
      </c>
      <c r="D17" s="5">
        <f>SUMPRODUCT(B4:C4,B17:C17)</f>
        <v>40</v>
      </c>
      <c r="E17" s="5" t="s">
        <v>28</v>
      </c>
      <c r="F17" s="5">
        <v>40</v>
      </c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FBA1-357C-D847-A7CB-5FB7F6E33FDC}">
  <dimension ref="A1:E17"/>
  <sheetViews>
    <sheetView workbookViewId="0">
      <selection activeCell="B10" sqref="B10"/>
    </sheetView>
  </sheetViews>
  <sheetFormatPr baseColWidth="10" defaultRowHeight="16" x14ac:dyDescent="0.2"/>
  <cols>
    <col min="1" max="1" width="22" bestFit="1" customWidth="1"/>
    <col min="2" max="2" width="17.6640625" bestFit="1" customWidth="1"/>
  </cols>
  <sheetData>
    <row r="1" spans="1:5" x14ac:dyDescent="0.2">
      <c r="A1" s="13" t="s">
        <v>33</v>
      </c>
      <c r="B1" s="11">
        <v>2.5</v>
      </c>
    </row>
    <row r="2" spans="1:5" x14ac:dyDescent="0.2">
      <c r="A2" s="13" t="s">
        <v>34</v>
      </c>
      <c r="B2">
        <f>(B3*-0.0001)+4</f>
        <v>2.4000000000000012</v>
      </c>
      <c r="C2" t="str">
        <f ca="1">_xlfn.FORMULATEXT(B2)</f>
        <v>=(B3*-0.0001)+4</v>
      </c>
    </row>
    <row r="3" spans="1:5" x14ac:dyDescent="0.2">
      <c r="A3" s="13" t="s">
        <v>35</v>
      </c>
      <c r="B3" s="14">
        <v>15999.999999999987</v>
      </c>
    </row>
    <row r="4" spans="1:5" x14ac:dyDescent="0.2">
      <c r="B4" s="11"/>
    </row>
    <row r="6" spans="1:5" x14ac:dyDescent="0.2">
      <c r="A6" s="13" t="s">
        <v>36</v>
      </c>
      <c r="B6" s="15">
        <v>1500</v>
      </c>
    </row>
    <row r="7" spans="1:5" x14ac:dyDescent="0.2">
      <c r="A7" s="13" t="s">
        <v>37</v>
      </c>
      <c r="B7" s="11">
        <f>B3*0.8</f>
        <v>12799.999999999991</v>
      </c>
      <c r="C7" t="str">
        <f ca="1">_xlfn.FORMULATEXT(B7)</f>
        <v>=B3*0.8</v>
      </c>
    </row>
    <row r="8" spans="1:5" x14ac:dyDescent="0.2">
      <c r="A8" s="13" t="s">
        <v>38</v>
      </c>
      <c r="B8" s="15">
        <f>SUM(B6:B7)</f>
        <v>14299.999999999991</v>
      </c>
      <c r="C8" t="str">
        <f ca="1">_xlfn.FORMULATEXT(B8)</f>
        <v>=SUM(B6:B7)</v>
      </c>
    </row>
    <row r="10" spans="1:5" x14ac:dyDescent="0.2">
      <c r="A10" s="13" t="s">
        <v>39</v>
      </c>
      <c r="B10" s="16">
        <f>B3*B2</f>
        <v>38399.999999999993</v>
      </c>
      <c r="C10" t="str">
        <f ca="1">_xlfn.FORMULATEXT(B10)</f>
        <v>=B3*B2</v>
      </c>
    </row>
    <row r="11" spans="1:5" x14ac:dyDescent="0.2">
      <c r="A11" s="13" t="s">
        <v>40</v>
      </c>
      <c r="B11" s="16">
        <f>B10-B8</f>
        <v>24100</v>
      </c>
      <c r="C11" t="str">
        <f ca="1">_xlfn.FORMULATEXT(B11)</f>
        <v>=B10-B8</v>
      </c>
    </row>
    <row r="13" spans="1:5" x14ac:dyDescent="0.2">
      <c r="A13" s="10"/>
      <c r="B13" s="10"/>
      <c r="C13" s="10"/>
      <c r="D13" s="10"/>
      <c r="E13" s="10"/>
    </row>
    <row r="14" spans="1:5" x14ac:dyDescent="0.2">
      <c r="A14" s="2"/>
      <c r="B14" s="17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</sheetData>
  <conditionalFormatting sqref="B11">
    <cfRule type="cellIs" dxfId="1" priority="1" operator="greaterThan">
      <formula>0</formula>
    </cfRule>
    <cfRule type="cellIs" dxfId="0" priority="2" operator="lessThan">
      <formula>0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66CD-9223-B643-AE15-AB6E24E10064}">
  <dimension ref="A1:F11"/>
  <sheetViews>
    <sheetView workbookViewId="0">
      <selection activeCell="I33" sqref="I33"/>
    </sheetView>
  </sheetViews>
  <sheetFormatPr baseColWidth="10" defaultRowHeight="16" x14ac:dyDescent="0.2"/>
  <cols>
    <col min="1" max="1" width="25" bestFit="1" customWidth="1"/>
  </cols>
  <sheetData>
    <row r="1" spans="1:6" ht="24" x14ac:dyDescent="0.3">
      <c r="A1" s="1" t="s">
        <v>41</v>
      </c>
    </row>
    <row r="2" spans="1:6" x14ac:dyDescent="0.2">
      <c r="B2" s="2" t="s">
        <v>42</v>
      </c>
      <c r="C2" s="2" t="s">
        <v>43</v>
      </c>
    </row>
    <row r="3" spans="1:6" x14ac:dyDescent="0.2">
      <c r="A3" s="2" t="s">
        <v>21</v>
      </c>
      <c r="B3" s="3">
        <v>35</v>
      </c>
      <c r="C3" s="3">
        <v>50</v>
      </c>
    </row>
    <row r="4" spans="1:6" x14ac:dyDescent="0.2">
      <c r="B4" s="18">
        <v>80</v>
      </c>
      <c r="C4" s="18">
        <v>45</v>
      </c>
    </row>
    <row r="6" spans="1:6" x14ac:dyDescent="0.2">
      <c r="A6" t="s">
        <v>47</v>
      </c>
    </row>
    <row r="7" spans="1:6" x14ac:dyDescent="0.2">
      <c r="A7" s="19" t="s">
        <v>48</v>
      </c>
      <c r="B7" s="20">
        <f>SUMPRODUCT($B$3:$C$3,B4:C4)</f>
        <v>5050</v>
      </c>
    </row>
    <row r="9" spans="1:6" x14ac:dyDescent="0.2">
      <c r="A9" s="5" t="s">
        <v>44</v>
      </c>
      <c r="B9" s="5"/>
      <c r="C9" s="5"/>
      <c r="D9" s="5" t="s">
        <v>13</v>
      </c>
      <c r="E9" s="5" t="s">
        <v>14</v>
      </c>
      <c r="F9" s="5" t="s">
        <v>15</v>
      </c>
    </row>
    <row r="10" spans="1:6" x14ac:dyDescent="0.2">
      <c r="A10" s="5" t="s">
        <v>45</v>
      </c>
      <c r="B10" s="5">
        <v>3</v>
      </c>
      <c r="C10" s="5">
        <v>5</v>
      </c>
      <c r="D10" s="5">
        <f>SUMPRODUCT($B$3:$C$3,B10:C10)</f>
        <v>355</v>
      </c>
      <c r="E10" s="5" t="s">
        <v>28</v>
      </c>
      <c r="F10" s="5">
        <v>360</v>
      </c>
    </row>
    <row r="11" spans="1:6" x14ac:dyDescent="0.2">
      <c r="A11" s="5" t="s">
        <v>46</v>
      </c>
      <c r="B11" s="5">
        <v>4</v>
      </c>
      <c r="C11" s="5">
        <v>2</v>
      </c>
      <c r="D11" s="5">
        <f>SUMPRODUCT($B$3:$C$3,B11:C11)</f>
        <v>240</v>
      </c>
      <c r="E11" s="5" t="s">
        <v>28</v>
      </c>
      <c r="F11" s="5">
        <v>240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9381-E687-1F4B-A3C6-7A3995C408D6}">
  <dimension ref="A1:E15"/>
  <sheetViews>
    <sheetView tabSelected="1" workbookViewId="0">
      <selection activeCell="C4" sqref="C4"/>
    </sheetView>
  </sheetViews>
  <sheetFormatPr baseColWidth="10" defaultRowHeight="16" x14ac:dyDescent="0.2"/>
  <cols>
    <col min="1" max="1" width="17.83203125" bestFit="1" customWidth="1"/>
    <col min="2" max="2" width="25.33203125" customWidth="1"/>
    <col min="3" max="3" width="18.83203125" bestFit="1" customWidth="1"/>
  </cols>
  <sheetData>
    <row r="1" spans="1:5" ht="24" x14ac:dyDescent="0.3">
      <c r="A1" s="1" t="s">
        <v>49</v>
      </c>
    </row>
    <row r="3" spans="1:5" x14ac:dyDescent="0.2">
      <c r="B3" s="22" t="s">
        <v>51</v>
      </c>
      <c r="C3" s="2" t="s">
        <v>52</v>
      </c>
      <c r="D3" s="25" t="s">
        <v>53</v>
      </c>
      <c r="E3" s="24"/>
    </row>
    <row r="4" spans="1:5" x14ac:dyDescent="0.2">
      <c r="A4" t="s">
        <v>50</v>
      </c>
      <c r="B4" s="27">
        <v>32000</v>
      </c>
      <c r="C4" s="29">
        <f>(B4-70000)/-10000</f>
        <v>3.8</v>
      </c>
      <c r="D4" t="str">
        <f ca="1">_xlfn.FORMULATEXT(C4)</f>
        <v>=(B4-70000)/-10000</v>
      </c>
    </row>
    <row r="6" spans="1:5" x14ac:dyDescent="0.2">
      <c r="A6" s="12" t="s">
        <v>55</v>
      </c>
      <c r="B6" s="11">
        <f>C4*B4</f>
        <v>121600</v>
      </c>
    </row>
    <row r="7" spans="1:5" x14ac:dyDescent="0.2">
      <c r="B7" s="23"/>
    </row>
    <row r="8" spans="1:5" x14ac:dyDescent="0.2">
      <c r="A8" s="12" t="s">
        <v>54</v>
      </c>
      <c r="B8" s="16"/>
    </row>
    <row r="9" spans="1:5" x14ac:dyDescent="0.2">
      <c r="A9" t="s">
        <v>56</v>
      </c>
      <c r="B9" s="15">
        <v>2500</v>
      </c>
    </row>
    <row r="10" spans="1:5" x14ac:dyDescent="0.2">
      <c r="A10" s="28" t="s">
        <v>50</v>
      </c>
      <c r="B10" s="15">
        <f>0.6*B4</f>
        <v>19200</v>
      </c>
      <c r="C10" t="str">
        <f ca="1">_xlfn.FORMULATEXT(B10)</f>
        <v>=0.6*B4</v>
      </c>
    </row>
    <row r="11" spans="1:5" x14ac:dyDescent="0.2">
      <c r="A11" s="28" t="s">
        <v>57</v>
      </c>
      <c r="B11" s="21">
        <f>B9+B10</f>
        <v>21700</v>
      </c>
    </row>
    <row r="13" spans="1:5" x14ac:dyDescent="0.2">
      <c r="A13" s="12" t="s">
        <v>31</v>
      </c>
    </row>
    <row r="14" spans="1:5" x14ac:dyDescent="0.2">
      <c r="A14" t="s">
        <v>32</v>
      </c>
      <c r="B14" s="26">
        <f>B6-B11</f>
        <v>99900</v>
      </c>
      <c r="C14" t="str">
        <f ca="1">_xlfn.FORMULATEXT(B14)</f>
        <v>=B6-B11</v>
      </c>
    </row>
    <row r="15" spans="1:5" x14ac:dyDescent="0.2">
      <c r="B15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PB&amp;J</vt:lpstr>
      <vt:lpstr>Motorcross Snowmobiles</vt:lpstr>
      <vt:lpstr>Baseball Stadium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Dean-Jones</dc:creator>
  <cp:lastModifiedBy>Aidan Dean-Jones</cp:lastModifiedBy>
  <dcterms:created xsi:type="dcterms:W3CDTF">2024-11-20T21:17:32Z</dcterms:created>
  <dcterms:modified xsi:type="dcterms:W3CDTF">2024-12-17T19:15:39Z</dcterms:modified>
</cp:coreProperties>
</file>