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n/Documents/"/>
    </mc:Choice>
  </mc:AlternateContent>
  <xr:revisionPtr revIDLastSave="0" documentId="8_{6D5F846D-0C44-0848-91B9-7973CDFDF145}" xr6:coauthVersionLast="47" xr6:coauthVersionMax="47" xr10:uidLastSave="{00000000-0000-0000-0000-000000000000}"/>
  <bookViews>
    <workbookView xWindow="22560" yWindow="9520" windowWidth="26300" windowHeight="23420" activeTab="6" xr2:uid="{EAD3B0AD-24D0-7D42-96C4-D3AA666A9316}"/>
  </bookViews>
  <sheets>
    <sheet name="Transportation Problem" sheetId="1" r:id="rId1"/>
    <sheet name="Alternative Excel Template" sheetId="2" r:id="rId2"/>
    <sheet name="Construction Projects" sheetId="3" r:id="rId3"/>
    <sheet name="New Hire Assignments" sheetId="4" r:id="rId4"/>
    <sheet name="Umpire Assignment" sheetId="5" r:id="rId5"/>
    <sheet name="College Professors" sheetId="6" r:id="rId6"/>
    <sheet name="Transpo &amp; Assignment Final" sheetId="7" r:id="rId7"/>
  </sheets>
  <definedNames>
    <definedName name="solver_adj" localSheetId="1" hidden="1">'Alternative Excel Template'!$D$4:$D$12</definedName>
    <definedName name="solver_adj" localSheetId="5" hidden="1">'College Professors'!$B$12:$E$15</definedName>
    <definedName name="solver_adj" localSheetId="2" hidden="1">'Construction Projects'!$C$12:$E$14</definedName>
    <definedName name="solver_adj" localSheetId="3" hidden="1">'New Hire Assignments'!$C$17:$F$19</definedName>
    <definedName name="solver_adj" localSheetId="6" hidden="1">'Transpo &amp; Assignment Final'!$B$33:$D$35</definedName>
    <definedName name="solver_adj" localSheetId="0" hidden="1">'Transportation Problem'!$C$18:$E$20</definedName>
    <definedName name="solver_adj" localSheetId="4" hidden="1">'Umpire Assignment'!$B$12:$E$15</definedName>
    <definedName name="solver_cvg" localSheetId="1" hidden="1">0.0001</definedName>
    <definedName name="solver_cvg" localSheetId="5" hidden="1">0.0001</definedName>
    <definedName name="solver_cvg" localSheetId="2" hidden="1">0.0001</definedName>
    <definedName name="solver_cvg" localSheetId="3" hidden="1">0.0001</definedName>
    <definedName name="solver_cvg" localSheetId="6" hidden="1">0.0001</definedName>
    <definedName name="solver_cvg" localSheetId="0" hidden="1">0.0001</definedName>
    <definedName name="solver_cvg" localSheetId="4" hidden="1">0.0001</definedName>
    <definedName name="solver_drv" localSheetId="1" hidden="1">1</definedName>
    <definedName name="solver_drv" localSheetId="5" hidden="1">1</definedName>
    <definedName name="solver_drv" localSheetId="2" hidden="1">1</definedName>
    <definedName name="solver_drv" localSheetId="3" hidden="1">1</definedName>
    <definedName name="solver_drv" localSheetId="6" hidden="1">1</definedName>
    <definedName name="solver_drv" localSheetId="0" hidden="1">1</definedName>
    <definedName name="solver_drv" localSheetId="4" hidden="1">1</definedName>
    <definedName name="solver_eng" localSheetId="1" hidden="1">2</definedName>
    <definedName name="solver_eng" localSheetId="5" hidden="1">2</definedName>
    <definedName name="solver_eng" localSheetId="2" hidden="1">2</definedName>
    <definedName name="solver_eng" localSheetId="3" hidden="1">2</definedName>
    <definedName name="solver_eng" localSheetId="6" hidden="1">2</definedName>
    <definedName name="solver_eng" localSheetId="0" hidden="1">2</definedName>
    <definedName name="solver_eng" localSheetId="4" hidden="1">2</definedName>
    <definedName name="solver_itr" localSheetId="1" hidden="1">2147483647</definedName>
    <definedName name="solver_itr" localSheetId="5" hidden="1">2147483647</definedName>
    <definedName name="solver_itr" localSheetId="2" hidden="1">2147483647</definedName>
    <definedName name="solver_itr" localSheetId="3" hidden="1">2147483647</definedName>
    <definedName name="solver_itr" localSheetId="6" hidden="1">2147483647</definedName>
    <definedName name="solver_itr" localSheetId="0" hidden="1">2147483647</definedName>
    <definedName name="solver_itr" localSheetId="4" hidden="1">2147483647</definedName>
    <definedName name="solver_lhs1" localSheetId="1" hidden="1">'Alternative Excel Template'!$B$16:$B$18</definedName>
    <definedName name="solver_lhs1" localSheetId="5" hidden="1">'College Professors'!$B$16:$E$16</definedName>
    <definedName name="solver_lhs1" localSheetId="2" hidden="1">'Construction Projects'!$C$15:$E$15</definedName>
    <definedName name="solver_lhs1" localSheetId="3" hidden="1">'New Hire Assignments'!$C$20:$F$20</definedName>
    <definedName name="solver_lhs1" localSheetId="6" hidden="1">'Transpo &amp; Assignment Final'!$B$36:$D$36</definedName>
    <definedName name="solver_lhs1" localSheetId="0" hidden="1">'Transportation Problem'!$C$21:$E$21</definedName>
    <definedName name="solver_lhs1" localSheetId="4" hidden="1">'Umpire Assignment'!$B$16:$E$16</definedName>
    <definedName name="solver_lhs2" localSheetId="1" hidden="1">'Alternative Excel Template'!$B$22:$B$24</definedName>
    <definedName name="solver_lhs2" localSheetId="5" hidden="1">'College Professors'!$F$12:$F$15</definedName>
    <definedName name="solver_lhs2" localSheetId="2" hidden="1">'Construction Projects'!$F$12:$F$14</definedName>
    <definedName name="solver_lhs2" localSheetId="3" hidden="1">'New Hire Assignments'!$G$17:$G$19</definedName>
    <definedName name="solver_lhs2" localSheetId="6" hidden="1">'Transpo &amp; Assignment Final'!$E$33:$E$35</definedName>
    <definedName name="solver_lhs2" localSheetId="0" hidden="1">'Transportation Problem'!$F$18:$F$20</definedName>
    <definedName name="solver_lhs2" localSheetId="4" hidden="1">'Umpire Assignment'!$E$14</definedName>
    <definedName name="solver_lhs3" localSheetId="4" hidden="1">'Umpire Assignment'!$F$12:$F$15</definedName>
    <definedName name="solver_lin" localSheetId="1" hidden="1">1</definedName>
    <definedName name="solver_lin" localSheetId="5" hidden="1">1</definedName>
    <definedName name="solver_lin" localSheetId="2" hidden="1">1</definedName>
    <definedName name="solver_lin" localSheetId="3" hidden="1">1</definedName>
    <definedName name="solver_lin" localSheetId="6" hidden="1">1</definedName>
    <definedName name="solver_lin" localSheetId="0" hidden="1">1</definedName>
    <definedName name="solver_lin" localSheetId="4" hidden="1">1</definedName>
    <definedName name="solver_mip" localSheetId="1" hidden="1">2147483647</definedName>
    <definedName name="solver_mip" localSheetId="5" hidden="1">2147483647</definedName>
    <definedName name="solver_mip" localSheetId="2" hidden="1">2147483647</definedName>
    <definedName name="solver_mip" localSheetId="3" hidden="1">2147483647</definedName>
    <definedName name="solver_mip" localSheetId="6" hidden="1">2147483647</definedName>
    <definedName name="solver_mip" localSheetId="0" hidden="1">2147483647</definedName>
    <definedName name="solver_mip" localSheetId="4" hidden="1">2147483647</definedName>
    <definedName name="solver_mni" localSheetId="1" hidden="1">30</definedName>
    <definedName name="solver_mni" localSheetId="5" hidden="1">30</definedName>
    <definedName name="solver_mni" localSheetId="2" hidden="1">30</definedName>
    <definedName name="solver_mni" localSheetId="3" hidden="1">30</definedName>
    <definedName name="solver_mni" localSheetId="6" hidden="1">30</definedName>
    <definedName name="solver_mni" localSheetId="0" hidden="1">30</definedName>
    <definedName name="solver_mni" localSheetId="4" hidden="1">30</definedName>
    <definedName name="solver_mrt" localSheetId="1" hidden="1">0.075</definedName>
    <definedName name="solver_mrt" localSheetId="5" hidden="1">0.075</definedName>
    <definedName name="solver_mrt" localSheetId="2" hidden="1">0.075</definedName>
    <definedName name="solver_mrt" localSheetId="3" hidden="1">0.075</definedName>
    <definedName name="solver_mrt" localSheetId="6" hidden="1">0.075</definedName>
    <definedName name="solver_mrt" localSheetId="0" hidden="1">0.075</definedName>
    <definedName name="solver_mrt" localSheetId="4" hidden="1">0.075</definedName>
    <definedName name="solver_msl" localSheetId="1" hidden="1">2</definedName>
    <definedName name="solver_msl" localSheetId="5" hidden="1">2</definedName>
    <definedName name="solver_msl" localSheetId="2" hidden="1">2</definedName>
    <definedName name="solver_msl" localSheetId="3" hidden="1">2</definedName>
    <definedName name="solver_msl" localSheetId="6" hidden="1">2</definedName>
    <definedName name="solver_msl" localSheetId="0" hidden="1">2</definedName>
    <definedName name="solver_msl" localSheetId="4" hidden="1">2</definedName>
    <definedName name="solver_neg" localSheetId="1" hidden="1">1</definedName>
    <definedName name="solver_neg" localSheetId="5" hidden="1">1</definedName>
    <definedName name="solver_neg" localSheetId="2" hidden="1">1</definedName>
    <definedName name="solver_neg" localSheetId="3" hidden="1">1</definedName>
    <definedName name="solver_neg" localSheetId="6" hidden="1">1</definedName>
    <definedName name="solver_neg" localSheetId="0" hidden="1">1</definedName>
    <definedName name="solver_neg" localSheetId="4" hidden="1">1</definedName>
    <definedName name="solver_nod" localSheetId="1" hidden="1">2147483647</definedName>
    <definedName name="solver_nod" localSheetId="5" hidden="1">2147483647</definedName>
    <definedName name="solver_nod" localSheetId="2" hidden="1">2147483647</definedName>
    <definedName name="solver_nod" localSheetId="3" hidden="1">2147483647</definedName>
    <definedName name="solver_nod" localSheetId="6" hidden="1">2147483647</definedName>
    <definedName name="solver_nod" localSheetId="0" hidden="1">2147483647</definedName>
    <definedName name="solver_nod" localSheetId="4" hidden="1">2147483647</definedName>
    <definedName name="solver_num" localSheetId="1" hidden="1">2</definedName>
    <definedName name="solver_num" localSheetId="5" hidden="1">2</definedName>
    <definedName name="solver_num" localSheetId="2" hidden="1">2</definedName>
    <definedName name="solver_num" localSheetId="3" hidden="1">2</definedName>
    <definedName name="solver_num" localSheetId="6" hidden="1">2</definedName>
    <definedName name="solver_num" localSheetId="0" hidden="1">2</definedName>
    <definedName name="solver_num" localSheetId="4" hidden="1">3</definedName>
    <definedName name="solver_opt" localSheetId="1" hidden="1">'Alternative Excel Template'!$B$26</definedName>
    <definedName name="solver_opt" localSheetId="5" hidden="1">'College Professors'!$B$21</definedName>
    <definedName name="solver_opt" localSheetId="2" hidden="1">'Construction Projects'!$C$17</definedName>
    <definedName name="solver_opt" localSheetId="3" hidden="1">'New Hire Assignments'!$D$24</definedName>
    <definedName name="solver_opt" localSheetId="6" hidden="1">'Transpo &amp; Assignment Final'!$B$40</definedName>
    <definedName name="solver_opt" localSheetId="0" hidden="1">'Transportation Problem'!$B$25</definedName>
    <definedName name="solver_opt" localSheetId="4" hidden="1">'Umpire Assignment'!$B$21</definedName>
    <definedName name="solver_pre" localSheetId="1" hidden="1">0.000001</definedName>
    <definedName name="solver_pre" localSheetId="5" hidden="1">0.000001</definedName>
    <definedName name="solver_pre" localSheetId="2" hidden="1">0.000001</definedName>
    <definedName name="solver_pre" localSheetId="3" hidden="1">0.000001</definedName>
    <definedName name="solver_pre" localSheetId="6" hidden="1">0.000001</definedName>
    <definedName name="solver_pre" localSheetId="0" hidden="1">0.000001</definedName>
    <definedName name="solver_pre" localSheetId="4" hidden="1">0.000001</definedName>
    <definedName name="solver_rbv" localSheetId="1" hidden="1">1</definedName>
    <definedName name="solver_rbv" localSheetId="5" hidden="1">1</definedName>
    <definedName name="solver_rbv" localSheetId="2" hidden="1">1</definedName>
    <definedName name="solver_rbv" localSheetId="3" hidden="1">1</definedName>
    <definedName name="solver_rbv" localSheetId="6" hidden="1">1</definedName>
    <definedName name="solver_rbv" localSheetId="0" hidden="1">1</definedName>
    <definedName name="solver_rbv" localSheetId="4" hidden="1">1</definedName>
    <definedName name="solver_rel1" localSheetId="1" hidden="1">1</definedName>
    <definedName name="solver_rel1" localSheetId="5" hidden="1">1</definedName>
    <definedName name="solver_rel1" localSheetId="2" hidden="1">2</definedName>
    <definedName name="solver_rel1" localSheetId="3" hidden="1">1</definedName>
    <definedName name="solver_rel1" localSheetId="6" hidden="1">2</definedName>
    <definedName name="solver_rel1" localSheetId="0" hidden="1">2</definedName>
    <definedName name="solver_rel1" localSheetId="4" hidden="1">1</definedName>
    <definedName name="solver_rel2" localSheetId="1" hidden="1">3</definedName>
    <definedName name="solver_rel2" localSheetId="5" hidden="1">2</definedName>
    <definedName name="solver_rel2" localSheetId="2" hidden="1">1</definedName>
    <definedName name="solver_rel2" localSheetId="3" hidden="1">2</definedName>
    <definedName name="solver_rel2" localSheetId="6" hidden="1">1</definedName>
    <definedName name="solver_rel2" localSheetId="0" hidden="1">1</definedName>
    <definedName name="solver_rel2" localSheetId="4" hidden="1">2</definedName>
    <definedName name="solver_rel3" localSheetId="4" hidden="1">2</definedName>
    <definedName name="solver_rhs1" localSheetId="1" hidden="1">'Alternative Excel Template'!$D$16:$D$18</definedName>
    <definedName name="solver_rhs1" localSheetId="5" hidden="1">'College Professors'!$B$18:$E$18</definedName>
    <definedName name="solver_rhs1" localSheetId="2" hidden="1">'Construction Projects'!$C$7:$E$7</definedName>
    <definedName name="solver_rhs1" localSheetId="3" hidden="1">'New Hire Assignments'!$C$22:$F$22</definedName>
    <definedName name="solver_rhs1" localSheetId="6" hidden="1">'Transpo &amp; Assignment Final'!$B$38:$D$38</definedName>
    <definedName name="solver_rhs1" localSheetId="0" hidden="1">'Transportation Problem'!$C$13:$E$13</definedName>
    <definedName name="solver_rhs1" localSheetId="4" hidden="1">'Umpire Assignment'!$B$18:$E$18</definedName>
    <definedName name="solver_rhs2" localSheetId="1" hidden="1">'Alternative Excel Template'!$D$22:$D$24</definedName>
    <definedName name="solver_rhs2" localSheetId="5" hidden="1">'College Professors'!$H$12:$H$15</definedName>
    <definedName name="solver_rhs2" localSheetId="2" hidden="1">'Construction Projects'!$F$4:$F$6</definedName>
    <definedName name="solver_rhs2" localSheetId="3" hidden="1">'New Hire Assignments'!$I$17:$I$19</definedName>
    <definedName name="solver_rhs2" localSheetId="6" hidden="1">'Transpo &amp; Assignment Final'!$G$33:$G$35</definedName>
    <definedName name="solver_rhs2" localSheetId="0" hidden="1">'Transportation Problem'!$F$10:$F$12</definedName>
    <definedName name="solver_rhs2" localSheetId="4" hidden="1">0</definedName>
    <definedName name="solver_rhs3" localSheetId="4" hidden="1">'Umpire Assignment'!$H$12:$H$15</definedName>
    <definedName name="solver_rlx" localSheetId="1" hidden="1">2</definedName>
    <definedName name="solver_rlx" localSheetId="5" hidden="1">2</definedName>
    <definedName name="solver_rlx" localSheetId="2" hidden="1">2</definedName>
    <definedName name="solver_rlx" localSheetId="3" hidden="1">2</definedName>
    <definedName name="solver_rlx" localSheetId="6" hidden="1">2</definedName>
    <definedName name="solver_rlx" localSheetId="0" hidden="1">2</definedName>
    <definedName name="solver_rlx" localSheetId="4" hidden="1">2</definedName>
    <definedName name="solver_rsd" localSheetId="1" hidden="1">0</definedName>
    <definedName name="solver_rsd" localSheetId="5" hidden="1">0</definedName>
    <definedName name="solver_rsd" localSheetId="2" hidden="1">0</definedName>
    <definedName name="solver_rsd" localSheetId="3" hidden="1">0</definedName>
    <definedName name="solver_rsd" localSheetId="6" hidden="1">0</definedName>
    <definedName name="solver_rsd" localSheetId="0" hidden="1">0</definedName>
    <definedName name="solver_rsd" localSheetId="4" hidden="1">0</definedName>
    <definedName name="solver_scl" localSheetId="1" hidden="1">1</definedName>
    <definedName name="solver_scl" localSheetId="5" hidden="1">1</definedName>
    <definedName name="solver_scl" localSheetId="2" hidden="1">1</definedName>
    <definedName name="solver_scl" localSheetId="3" hidden="1">1</definedName>
    <definedName name="solver_scl" localSheetId="6" hidden="1">1</definedName>
    <definedName name="solver_scl" localSheetId="0" hidden="1">1</definedName>
    <definedName name="solver_scl" localSheetId="4" hidden="1">1</definedName>
    <definedName name="solver_sho" localSheetId="1" hidden="1">2</definedName>
    <definedName name="solver_sho" localSheetId="5" hidden="1">2</definedName>
    <definedName name="solver_sho" localSheetId="2" hidden="1">2</definedName>
    <definedName name="solver_sho" localSheetId="3" hidden="1">2</definedName>
    <definedName name="solver_sho" localSheetId="6" hidden="1">2</definedName>
    <definedName name="solver_sho" localSheetId="0" hidden="1">2</definedName>
    <definedName name="solver_sho" localSheetId="4" hidden="1">2</definedName>
    <definedName name="solver_ssz" localSheetId="1" hidden="1">100</definedName>
    <definedName name="solver_ssz" localSheetId="5" hidden="1">100</definedName>
    <definedName name="solver_ssz" localSheetId="2" hidden="1">100</definedName>
    <definedName name="solver_ssz" localSheetId="3" hidden="1">100</definedName>
    <definedName name="solver_ssz" localSheetId="6" hidden="1">100</definedName>
    <definedName name="solver_ssz" localSheetId="0" hidden="1">100</definedName>
    <definedName name="solver_ssz" localSheetId="4" hidden="1">100</definedName>
    <definedName name="solver_tim" localSheetId="1" hidden="1">2147483647</definedName>
    <definedName name="solver_tim" localSheetId="5" hidden="1">2147483647</definedName>
    <definedName name="solver_tim" localSheetId="2" hidden="1">2147483647</definedName>
    <definedName name="solver_tim" localSheetId="3" hidden="1">2147483647</definedName>
    <definedName name="solver_tim" localSheetId="6" hidden="1">2147483647</definedName>
    <definedName name="solver_tim" localSheetId="0" hidden="1">2147483647</definedName>
    <definedName name="solver_tim" localSheetId="4" hidden="1">2147483647</definedName>
    <definedName name="solver_tol" localSheetId="1" hidden="1">0.01</definedName>
    <definedName name="solver_tol" localSheetId="5" hidden="1">0.01</definedName>
    <definedName name="solver_tol" localSheetId="2" hidden="1">0.01</definedName>
    <definedName name="solver_tol" localSheetId="3" hidden="1">0.01</definedName>
    <definedName name="solver_tol" localSheetId="6" hidden="1">0.01</definedName>
    <definedName name="solver_tol" localSheetId="0" hidden="1">0.01</definedName>
    <definedName name="solver_tol" localSheetId="4" hidden="1">0.01</definedName>
    <definedName name="solver_typ" localSheetId="1" hidden="1">2</definedName>
    <definedName name="solver_typ" localSheetId="5" hidden="1">1</definedName>
    <definedName name="solver_typ" localSheetId="2" hidden="1">2</definedName>
    <definedName name="solver_typ" localSheetId="3" hidden="1">2</definedName>
    <definedName name="solver_typ" localSheetId="6" hidden="1">1</definedName>
    <definedName name="solver_typ" localSheetId="0" hidden="1">2</definedName>
    <definedName name="solver_typ" localSheetId="4" hidden="1">2</definedName>
    <definedName name="solver_val" localSheetId="1" hidden="1">0</definedName>
    <definedName name="solver_val" localSheetId="5" hidden="1">0</definedName>
    <definedName name="solver_val" localSheetId="2" hidden="1">0</definedName>
    <definedName name="solver_val" localSheetId="3" hidden="1">0</definedName>
    <definedName name="solver_val" localSheetId="6" hidden="1">0</definedName>
    <definedName name="solver_val" localSheetId="0" hidden="1">0</definedName>
    <definedName name="solver_val" localSheetId="4" hidden="1">0</definedName>
    <definedName name="solver_ver" localSheetId="1" hidden="1">2</definedName>
    <definedName name="solver_ver" localSheetId="5" hidden="1">2</definedName>
    <definedName name="solver_ver" localSheetId="2" hidden="1">2</definedName>
    <definedName name="solver_ver" localSheetId="3" hidden="1">2</definedName>
    <definedName name="solver_ver" localSheetId="6" hidden="1">2</definedName>
    <definedName name="solver_ver" localSheetId="0" hidden="1">2</definedName>
    <definedName name="solver_ver" localSheetId="4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7" l="1"/>
  <c r="B18" i="7" a="1"/>
  <c r="B18" i="7"/>
  <c r="E34" i="7"/>
  <c r="E35" i="7"/>
  <c r="E33" i="7"/>
  <c r="C36" i="7"/>
  <c r="D36" i="7"/>
  <c r="B36" i="7"/>
  <c r="C12" i="7"/>
  <c r="D12" i="7"/>
  <c r="B12" i="7"/>
  <c r="E11" i="7"/>
  <c r="E10" i="7"/>
  <c r="B21" i="6"/>
  <c r="C16" i="6"/>
  <c r="D16" i="6"/>
  <c r="E16" i="6"/>
  <c r="B16" i="6"/>
  <c r="F13" i="6"/>
  <c r="F14" i="6"/>
  <c r="F15" i="6"/>
  <c r="F12" i="6"/>
  <c r="F14" i="5"/>
  <c r="B21" i="5"/>
  <c r="E16" i="5"/>
  <c r="B16" i="5"/>
  <c r="C16" i="5"/>
  <c r="D16" i="5"/>
  <c r="F13" i="5"/>
  <c r="F15" i="5"/>
  <c r="F12" i="5"/>
  <c r="D24" i="4"/>
  <c r="D20" i="4"/>
  <c r="E20" i="4"/>
  <c r="F20" i="4"/>
  <c r="C20" i="4"/>
  <c r="G18" i="4"/>
  <c r="G19" i="4"/>
  <c r="G17" i="4"/>
  <c r="D15" i="3"/>
  <c r="E15" i="3"/>
  <c r="C15" i="3"/>
  <c r="F14" i="3"/>
  <c r="F13" i="3"/>
  <c r="F12" i="3"/>
  <c r="C17" i="3"/>
  <c r="B26" i="2"/>
  <c r="B23" i="2"/>
  <c r="B24" i="2"/>
  <c r="B22" i="2"/>
  <c r="B17" i="2"/>
  <c r="B18" i="2"/>
  <c r="B16" i="2"/>
  <c r="B25" i="1"/>
  <c r="D21" i="1"/>
  <c r="E21" i="1"/>
  <c r="C21" i="1"/>
  <c r="F19" i="1"/>
  <c r="F20" i="1"/>
  <c r="F18" i="1"/>
  <c r="E18" i="2"/>
  <c r="C25" i="1"/>
  <c r="E16" i="2"/>
  <c r="E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<sst xmlns="http://schemas.openxmlformats.org/spreadsheetml/2006/main" count="262" uniqueCount="98">
  <si>
    <t>Factories in Des Moines, Evanston, Ft Lauderdale</t>
  </si>
  <si>
    <t>Stores in: Albany, Boston, Cleveland</t>
  </si>
  <si>
    <t>Output:</t>
  </si>
  <si>
    <t>Demand:</t>
  </si>
  <si>
    <t>Data Table:</t>
  </si>
  <si>
    <t>Des Moines</t>
  </si>
  <si>
    <t>Evanston</t>
  </si>
  <si>
    <t>Ft Lauderdale</t>
  </si>
  <si>
    <t>Albany</t>
  </si>
  <si>
    <t>Boston</t>
  </si>
  <si>
    <t>Cleveland</t>
  </si>
  <si>
    <t>Destination</t>
  </si>
  <si>
    <t>Sources</t>
  </si>
  <si>
    <t>Shipment Table:</t>
  </si>
  <si>
    <t>Objective (min)</t>
  </si>
  <si>
    <t>Total Cost:</t>
  </si>
  <si>
    <t>Transportation Problem - Alternative Template</t>
  </si>
  <si>
    <t>Origin/Factories</t>
  </si>
  <si>
    <t>Destinations/Stores</t>
  </si>
  <si>
    <t>Unit Cost</t>
  </si>
  <si>
    <t>Shipments</t>
  </si>
  <si>
    <t>Supply Constraints</t>
  </si>
  <si>
    <t>Factories:</t>
  </si>
  <si>
    <t>Outflow</t>
  </si>
  <si>
    <t>Sign</t>
  </si>
  <si>
    <t>Capacity</t>
  </si>
  <si>
    <t>&lt;=</t>
  </si>
  <si>
    <t>Demand Constraints</t>
  </si>
  <si>
    <t>Stores</t>
  </si>
  <si>
    <t>Inflow</t>
  </si>
  <si>
    <t>=</t>
  </si>
  <si>
    <t>&gt;=</t>
  </si>
  <si>
    <t>Demand</t>
  </si>
  <si>
    <t>Objective (Min) Cost:</t>
  </si>
  <si>
    <t>Osbourne Concrete Company</t>
  </si>
  <si>
    <t>Plant 1</t>
  </si>
  <si>
    <t>Plant 2</t>
  </si>
  <si>
    <t>Plant 3</t>
  </si>
  <si>
    <t>Project A</t>
  </si>
  <si>
    <t>Project B</t>
  </si>
  <si>
    <t>Project C</t>
  </si>
  <si>
    <t>Objective(min) Least Cost:</t>
  </si>
  <si>
    <t>Assignment Problem</t>
  </si>
  <si>
    <t>Jones</t>
  </si>
  <si>
    <t>Smith</t>
  </si>
  <si>
    <t>Wilson</t>
  </si>
  <si>
    <t>Omaha</t>
  </si>
  <si>
    <t>Miami</t>
  </si>
  <si>
    <t>Dallas</t>
  </si>
  <si>
    <t>New York</t>
  </si>
  <si>
    <t>Since assignment problems demand and supply is always 1 we don't put wrapper column as it is implied to be 11</t>
  </si>
  <si>
    <t>Cost Table:</t>
  </si>
  <si>
    <t>Assignment Table</t>
  </si>
  <si>
    <t>Total:</t>
  </si>
  <si>
    <t>RHS</t>
  </si>
  <si>
    <t>Total</t>
  </si>
  <si>
    <t xml:space="preserve">&lt;= </t>
  </si>
  <si>
    <t>Objective (min) Relocation Cost</t>
  </si>
  <si>
    <t>MLB Umpire Assignment</t>
  </si>
  <si>
    <t>Distance Traveled Table (Given)</t>
  </si>
  <si>
    <t>Ump1</t>
  </si>
  <si>
    <t>Ump2</t>
  </si>
  <si>
    <t>Ump3</t>
  </si>
  <si>
    <t>Ump4</t>
  </si>
  <si>
    <t>Kansas City</t>
  </si>
  <si>
    <t>Chicago</t>
  </si>
  <si>
    <t>Detroit</t>
  </si>
  <si>
    <t>Toronto</t>
  </si>
  <si>
    <t>Distance(min)</t>
  </si>
  <si>
    <t>College Professor Assignment</t>
  </si>
  <si>
    <t>Teaching Evaluation Table (Given)</t>
  </si>
  <si>
    <t>Bain</t>
  </si>
  <si>
    <t>Carey</t>
  </si>
  <si>
    <t>Dio</t>
  </si>
  <si>
    <t>Powell</t>
  </si>
  <si>
    <t>Statistics</t>
  </si>
  <si>
    <t>Management</t>
  </si>
  <si>
    <t>Finance</t>
  </si>
  <si>
    <t>Economics</t>
  </si>
  <si>
    <t>Objective (Max)</t>
  </si>
  <si>
    <t>Teacher Score:</t>
  </si>
  <si>
    <t>Umbrella Corporation</t>
  </si>
  <si>
    <t>Transpo Costs Table</t>
  </si>
  <si>
    <t>Factory 1</t>
  </si>
  <si>
    <t>Factory 2</t>
  </si>
  <si>
    <t>Store A</t>
  </si>
  <si>
    <t>Store B</t>
  </si>
  <si>
    <t>Store C</t>
  </si>
  <si>
    <t>Manufacturing Cost</t>
  </si>
  <si>
    <t>Objective (min) Total Production Cost:</t>
  </si>
  <si>
    <t>Transpo Table</t>
  </si>
  <si>
    <t>Transfer Totals Table (Given)</t>
  </si>
  <si>
    <t>Plant A</t>
  </si>
  <si>
    <t>Plant B</t>
  </si>
  <si>
    <t>Plant C</t>
  </si>
  <si>
    <t>Production Increase Table (Given)</t>
  </si>
  <si>
    <t>To:</t>
  </si>
  <si>
    <t xml:space="preserve">Objective (Max) Production: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</si>
</sst>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44" fontId="0" fillId="0" borderId="0" xfId="1" applyFont="1" applyFill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5" borderId="0" xfId="0" applyFill="1"/>
    <xf numFmtId="44" fontId="0" fillId="5" borderId="0" xfId="1" applyFont="1" applyFill="1"/>
    <xf numFmtId="164" fontId="0" fillId="5" borderId="0" xfId="1" applyNumberFormat="1" applyFont="1" applyFill="1"/>
    <xf numFmtId="164" fontId="0" fillId="5" borderId="0" xfId="1" applyNumberFormat="1" applyFont="1" applyFill="1" applyAlignment="1">
      <alignment horizontal="center"/>
    </xf>
    <xf numFmtId="0" fontId="0" fillId="3" borderId="2" xfId="0" applyFill="1" applyBorder="1"/>
    <xf numFmtId="164" fontId="0" fillId="0" borderId="2" xfId="1" applyNumberFormat="1" applyFont="1" applyBorder="1"/>
    <xf numFmtId="0" fontId="5" fillId="0" borderId="4" xfId="0" applyFont="1" applyBorder="1" applyAlignment="1">
      <alignment horizontal="center"/>
    </xf>
    <xf numFmtId="0" fontId="5" fillId="0" borderId="8" xfId="0" applyFont="1" applyBorder="1"/>
    <xf numFmtId="0" fontId="0" fillId="0" borderId="2" xfId="1" applyNumberFormat="1" applyFont="1" applyFill="1" applyBorder="1" applyAlignment="1">
      <alignment horizontal="center"/>
    </xf>
    <xf numFmtId="0" fontId="0" fillId="4" borderId="0" xfId="0" applyFill="1"/>
    <xf numFmtId="0" fontId="0" fillId="3" borderId="2" xfId="1" applyNumberFormat="1" applyFont="1" applyFill="1" applyBorder="1" applyAlignment="1">
      <alignment horizontal="center"/>
    </xf>
    <xf numFmtId="164" fontId="0" fillId="4" borderId="0" xfId="1" applyNumberFormat="1" applyFont="1" applyFill="1"/>
    <xf numFmtId="0" fontId="3" fillId="0" borderId="1" xfId="3"/>
    <xf numFmtId="44" fontId="0" fillId="0" borderId="0" xfId="1" applyFont="1"/>
    <xf numFmtId="164" fontId="0" fillId="6" borderId="2" xfId="1" applyNumberFormat="1" applyFont="1" applyFill="1" applyBorder="1"/>
    <xf numFmtId="0" fontId="5" fillId="0" borderId="0" xfId="0" applyFont="1" applyAlignment="1">
      <alignment horizontal="center"/>
    </xf>
    <xf numFmtId="0" fontId="0" fillId="0" borderId="0" xfId="1" applyNumberFormat="1" applyFont="1" applyBorder="1" applyAlignment="1">
      <alignment horizontal="center"/>
    </xf>
    <xf numFmtId="0" fontId="6" fillId="0" borderId="0" xfId="0" applyFont="1"/>
    <xf numFmtId="0" fontId="6" fillId="0" borderId="0" xfId="1" applyNumberFormat="1" applyFont="1" applyFill="1" applyBorder="1"/>
    <xf numFmtId="0" fontId="6" fillId="0" borderId="0" xfId="1" applyNumberFormat="1" applyFont="1" applyFill="1" applyBorder="1" applyAlignment="1">
      <alignment horizontal="center"/>
    </xf>
    <xf numFmtId="0" fontId="6" fillId="0" borderId="0" xfId="0" applyFont="1" applyAlignment="1">
      <alignment textRotation="90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0" fontId="2" fillId="0" borderId="0" xfId="2"/>
    <xf numFmtId="0" fontId="0" fillId="6" borderId="2" xfId="0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164" fontId="0" fillId="6" borderId="2" xfId="1" applyNumberFormat="1" applyFont="1" applyFill="1" applyBorder="1" applyAlignment="1">
      <alignment horizontal="center"/>
    </xf>
    <xf numFmtId="0" fontId="1" fillId="0" borderId="2" xfId="4" applyNumberFormat="1" applyFont="1" applyFill="1" applyBorder="1" applyAlignment="1">
      <alignment horizontal="center"/>
    </xf>
    <xf numFmtId="0" fontId="0" fillId="6" borderId="2" xfId="0" applyFill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textRotation="90"/>
    </xf>
    <xf numFmtId="0" fontId="3" fillId="0" borderId="0" xfId="3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</cellXfs>
  <cellStyles count="5">
    <cellStyle name="Bad" xfId="4" builtinId="27"/>
    <cellStyle name="Currency" xfId="1" builtinId="4"/>
    <cellStyle name="Heading 1" xfId="3" builtinId="16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622300</xdr:colOff>
      <xdr:row>17</xdr:row>
      <xdr:rowOff>0</xdr:rowOff>
    </xdr:from>
    <xdr:to>
      <xdr:col>16</xdr:col>
      <xdr:colOff>139700</xdr:colOff>
      <xdr:row>31</xdr:row>
      <xdr:rowOff>193877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EFC75C-98B3-CD06-9896-D394C278A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2400" y="3505200"/>
          <a:ext cx="7772400" cy="30386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406400</xdr:colOff>
      <xdr:row>26</xdr:row>
      <xdr:rowOff>25400</xdr:rowOff>
    </xdr:from>
    <xdr:to>
      <xdr:col>13</xdr:col>
      <xdr:colOff>749300</xdr:colOff>
      <xdr:row>40</xdr:row>
      <xdr:rowOff>138553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50D99F-4FE8-6794-AEAC-023EFCC5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6400" y="5384800"/>
          <a:ext cx="7772400" cy="29579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698500</xdr:colOff>
      <xdr:row>23</xdr:row>
      <xdr:rowOff>152400</xdr:rowOff>
    </xdr:from>
    <xdr:to>
      <xdr:col>18</xdr:col>
      <xdr:colOff>215900</xdr:colOff>
      <xdr:row>42</xdr:row>
      <xdr:rowOff>109918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189B2C-3A39-E1E2-900E-152CD4D64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0200" y="4927600"/>
          <a:ext cx="7772400" cy="38183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469900</xdr:colOff>
      <xdr:row>21</xdr:row>
      <xdr:rowOff>114300</xdr:rowOff>
    </xdr:from>
    <xdr:to>
      <xdr:col>12</xdr:col>
      <xdr:colOff>812800</xdr:colOff>
      <xdr:row>37</xdr:row>
      <xdr:rowOff>179324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F4E9C5-B955-D9AF-C173-5C5089491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8800" y="4381500"/>
          <a:ext cx="7772400" cy="33162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330200</xdr:colOff>
      <xdr:row>15</xdr:row>
      <xdr:rowOff>165100</xdr:rowOff>
    </xdr:from>
    <xdr:to>
      <xdr:col>14</xdr:col>
      <xdr:colOff>152400</xdr:colOff>
      <xdr:row>28</xdr:row>
      <xdr:rowOff>155752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187B3-0C4F-02C5-75B3-64811F325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0" y="3314700"/>
          <a:ext cx="7772400" cy="263225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D8A3-8766-7E4F-BD6A-1EBB7860B1B6}">
  <dimension ref="A3:J25"/>
  <sheetViews>
    <sheetView topLeftCell="A15" workbookViewId="0">
      <selection activeCell="F20" sqref="F20"/>
    </sheetView>
  </sheetViews>
  <sheetFormatPr baseColWidth="10" defaultRowHeight="16" x14ac:dyDescent="0.2"/>
  <cols>
    <col min="1" max="1" width="20.33203125" bestFit="1" customWidth="1"/>
    <col min="2" max="2" width="14.1640625" bestFit="1" customWidth="1"/>
    <col min="8" max="8" width="14.5" customWidth="1"/>
  </cols>
  <sheetData>
    <row r="3" spans="1:10" x14ac:dyDescent="0.2"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B4" s="10"/>
      <c r="C4" s="10"/>
      <c r="D4" s="10"/>
      <c r="E4" s="10"/>
      <c r="F4" s="10"/>
      <c r="G4" s="10"/>
      <c r="H4" s="10"/>
      <c r="I4" s="10"/>
      <c r="J4" s="10"/>
    </row>
    <row r="8" spans="1:10" x14ac:dyDescent="0.2">
      <c r="C8" s="42" t="s">
        <v>11</v>
      </c>
      <c r="D8" s="42"/>
      <c r="E8" s="42"/>
      <c r="H8" t="s">
        <v>0</v>
      </c>
    </row>
    <row r="9" spans="1:10" x14ac:dyDescent="0.2">
      <c r="A9" t="s">
        <v>4</v>
      </c>
      <c r="B9" s="3"/>
      <c r="C9" s="7" t="s">
        <v>8</v>
      </c>
      <c r="D9" s="7" t="s">
        <v>9</v>
      </c>
      <c r="E9" s="7" t="s">
        <v>10</v>
      </c>
      <c r="F9" s="8" t="s">
        <v>2</v>
      </c>
      <c r="H9" t="s">
        <v>1</v>
      </c>
    </row>
    <row r="10" spans="1:10" x14ac:dyDescent="0.2">
      <c r="A10" s="43" t="s">
        <v>12</v>
      </c>
      <c r="B10" s="7" t="s">
        <v>5</v>
      </c>
      <c r="C10" s="11">
        <v>5</v>
      </c>
      <c r="D10" s="11">
        <v>4</v>
      </c>
      <c r="E10" s="11">
        <v>3</v>
      </c>
      <c r="F10" s="5">
        <v>100</v>
      </c>
    </row>
    <row r="11" spans="1:10" x14ac:dyDescent="0.2">
      <c r="A11" s="43"/>
      <c r="B11" s="7" t="s">
        <v>6</v>
      </c>
      <c r="C11" s="11">
        <v>8</v>
      </c>
      <c r="D11" s="11">
        <v>4</v>
      </c>
      <c r="E11" s="11">
        <v>3</v>
      </c>
      <c r="F11" s="5">
        <v>300</v>
      </c>
    </row>
    <row r="12" spans="1:10" x14ac:dyDescent="0.2">
      <c r="A12" s="43"/>
      <c r="B12" s="7" t="s">
        <v>7</v>
      </c>
      <c r="C12" s="11">
        <v>9</v>
      </c>
      <c r="D12" s="11">
        <v>7</v>
      </c>
      <c r="E12" s="11">
        <v>5</v>
      </c>
      <c r="F12" s="1">
        <v>300</v>
      </c>
    </row>
    <row r="13" spans="1:10" x14ac:dyDescent="0.2">
      <c r="B13" s="6" t="s">
        <v>3</v>
      </c>
      <c r="C13" s="5">
        <v>300</v>
      </c>
      <c r="D13" s="5">
        <v>200</v>
      </c>
      <c r="E13" s="5">
        <v>200</v>
      </c>
    </row>
    <row r="14" spans="1:10" x14ac:dyDescent="0.2">
      <c r="H14" t="s">
        <v>2</v>
      </c>
    </row>
    <row r="15" spans="1:10" x14ac:dyDescent="0.2">
      <c r="H15" s="1" t="s">
        <v>5</v>
      </c>
      <c r="I15" s="1">
        <v>100</v>
      </c>
    </row>
    <row r="16" spans="1:10" x14ac:dyDescent="0.2">
      <c r="C16" s="42" t="s">
        <v>11</v>
      </c>
      <c r="D16" s="42"/>
      <c r="E16" s="42"/>
      <c r="H16" s="1" t="s">
        <v>6</v>
      </c>
      <c r="I16" s="1">
        <v>300</v>
      </c>
    </row>
    <row r="17" spans="1:9" x14ac:dyDescent="0.2">
      <c r="A17" t="s">
        <v>13</v>
      </c>
      <c r="B17" s="3"/>
      <c r="C17" s="7" t="s">
        <v>8</v>
      </c>
      <c r="D17" s="7" t="s">
        <v>9</v>
      </c>
      <c r="E17" s="7" t="s">
        <v>10</v>
      </c>
      <c r="F17" s="8" t="s">
        <v>2</v>
      </c>
      <c r="H17" s="1" t="s">
        <v>7</v>
      </c>
      <c r="I17" s="1">
        <v>300</v>
      </c>
    </row>
    <row r="18" spans="1:9" x14ac:dyDescent="0.2">
      <c r="A18" s="43" t="s">
        <v>12</v>
      </c>
      <c r="B18" s="7" t="s">
        <v>5</v>
      </c>
      <c r="C18" s="9">
        <v>100</v>
      </c>
      <c r="D18" s="9">
        <v>0</v>
      </c>
      <c r="E18" s="9">
        <v>0</v>
      </c>
      <c r="F18" s="5">
        <f>SUM(C18:E18)</f>
        <v>100</v>
      </c>
    </row>
    <row r="19" spans="1:9" x14ac:dyDescent="0.2">
      <c r="A19" s="43"/>
      <c r="B19" s="7" t="s">
        <v>6</v>
      </c>
      <c r="C19" s="9">
        <v>0</v>
      </c>
      <c r="D19" s="9">
        <v>200</v>
      </c>
      <c r="E19" s="9">
        <v>100</v>
      </c>
      <c r="F19" s="5">
        <f t="shared" ref="F19:F20" si="0">SUM(C19:E19)</f>
        <v>300</v>
      </c>
      <c r="H19" s="1" t="s">
        <v>3</v>
      </c>
    </row>
    <row r="20" spans="1:9" x14ac:dyDescent="0.2">
      <c r="A20" s="43"/>
      <c r="B20" s="7" t="s">
        <v>7</v>
      </c>
      <c r="C20" s="9">
        <v>200</v>
      </c>
      <c r="D20" s="9">
        <v>0</v>
      </c>
      <c r="E20" s="9">
        <v>100</v>
      </c>
      <c r="F20" s="5">
        <f t="shared" si="0"/>
        <v>300</v>
      </c>
      <c r="H20" s="1" t="s">
        <v>8</v>
      </c>
      <c r="I20" s="1">
        <v>300</v>
      </c>
    </row>
    <row r="21" spans="1:9" x14ac:dyDescent="0.2">
      <c r="B21" s="6" t="s">
        <v>3</v>
      </c>
      <c r="C21" s="5">
        <f>SUM(C18:C20)</f>
        <v>300</v>
      </c>
      <c r="D21" s="5">
        <f t="shared" ref="D21:E21" si="1">SUM(D18:D20)</f>
        <v>200</v>
      </c>
      <c r="E21" s="5">
        <f t="shared" si="1"/>
        <v>200</v>
      </c>
      <c r="H21" s="1" t="s">
        <v>9</v>
      </c>
      <c r="I21" s="1">
        <v>200</v>
      </c>
    </row>
    <row r="22" spans="1:9" x14ac:dyDescent="0.2">
      <c r="H22" s="1" t="s">
        <v>10</v>
      </c>
      <c r="I22" s="1">
        <v>200</v>
      </c>
    </row>
    <row r="24" spans="1:9" x14ac:dyDescent="0.2">
      <c r="A24" t="s">
        <v>14</v>
      </c>
    </row>
    <row r="25" spans="1:9" x14ac:dyDescent="0.2">
      <c r="A25" t="s">
        <v>15</v>
      </c>
      <c r="B25" s="15">
        <f>SUMPRODUCT(C10:E12,C18:E20)</f>
        <v>3900</v>
      </c>
      <c r="C25" t="str">
        <f ca="1">_xlfn.FORMULATEXT(B25)</f>
        <v>=SUMPRODUCT(C10:E12,C18:E20)</v>
      </c>
    </row>
  </sheetData>
  <mergeCells count="4">
    <mergeCell ref="C8:E8"/>
    <mergeCell ref="A10:A12"/>
    <mergeCell ref="C16:E16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9602-F887-0747-836B-E3D6FE9CA624}">
  <dimension ref="A1:E26"/>
  <sheetViews>
    <sheetView workbookViewId="0">
      <selection activeCell="D31" sqref="D31"/>
    </sheetView>
  </sheetViews>
  <sheetFormatPr baseColWidth="10" defaultRowHeight="16" x14ac:dyDescent="0.2"/>
  <cols>
    <col min="1" max="1" width="38.83203125" bestFit="1" customWidth="1"/>
    <col min="2" max="2" width="17.5" bestFit="1" customWidth="1"/>
    <col min="3" max="3" width="8.6640625" bestFit="1" customWidth="1"/>
  </cols>
  <sheetData>
    <row r="1" spans="1:5" x14ac:dyDescent="0.2">
      <c r="A1" t="s">
        <v>16</v>
      </c>
    </row>
    <row r="3" spans="1:5" x14ac:dyDescent="0.2">
      <c r="A3" s="3" t="s">
        <v>17</v>
      </c>
      <c r="B3" s="3" t="s">
        <v>18</v>
      </c>
      <c r="C3" s="3" t="s">
        <v>19</v>
      </c>
      <c r="D3" s="3" t="s">
        <v>20</v>
      </c>
    </row>
    <row r="4" spans="1:5" x14ac:dyDescent="0.2">
      <c r="A4" s="3" t="s">
        <v>5</v>
      </c>
      <c r="B4" s="3" t="s">
        <v>8</v>
      </c>
      <c r="C4" s="11">
        <v>5</v>
      </c>
      <c r="D4" s="9">
        <v>100</v>
      </c>
    </row>
    <row r="5" spans="1:5" x14ac:dyDescent="0.2">
      <c r="A5" s="3" t="s">
        <v>5</v>
      </c>
      <c r="B5" s="3" t="s">
        <v>9</v>
      </c>
      <c r="C5" s="11">
        <v>4</v>
      </c>
      <c r="D5" s="9">
        <v>0</v>
      </c>
    </row>
    <row r="6" spans="1:5" x14ac:dyDescent="0.2">
      <c r="A6" s="3" t="s">
        <v>5</v>
      </c>
      <c r="B6" s="3" t="s">
        <v>10</v>
      </c>
      <c r="C6" s="11">
        <v>3</v>
      </c>
      <c r="D6" s="9">
        <v>0</v>
      </c>
    </row>
    <row r="7" spans="1:5" x14ac:dyDescent="0.2">
      <c r="A7" s="3" t="s">
        <v>6</v>
      </c>
      <c r="B7" s="3" t="s">
        <v>8</v>
      </c>
      <c r="C7" s="11">
        <v>8</v>
      </c>
      <c r="D7" s="9">
        <v>0</v>
      </c>
    </row>
    <row r="8" spans="1:5" x14ac:dyDescent="0.2">
      <c r="A8" s="3" t="s">
        <v>6</v>
      </c>
      <c r="B8" s="3" t="s">
        <v>9</v>
      </c>
      <c r="C8" s="11">
        <v>4</v>
      </c>
      <c r="D8" s="9">
        <v>200</v>
      </c>
    </row>
    <row r="9" spans="1:5" x14ac:dyDescent="0.2">
      <c r="A9" s="3" t="s">
        <v>6</v>
      </c>
      <c r="B9" s="3" t="s">
        <v>10</v>
      </c>
      <c r="C9" s="11">
        <v>3</v>
      </c>
      <c r="D9" s="9">
        <v>100</v>
      </c>
    </row>
    <row r="10" spans="1:5" x14ac:dyDescent="0.2">
      <c r="A10" s="3" t="s">
        <v>7</v>
      </c>
      <c r="B10" s="3" t="s">
        <v>8</v>
      </c>
      <c r="C10" s="11">
        <v>9</v>
      </c>
      <c r="D10" s="9">
        <v>200</v>
      </c>
    </row>
    <row r="11" spans="1:5" x14ac:dyDescent="0.2">
      <c r="A11" s="3" t="s">
        <v>7</v>
      </c>
      <c r="B11" s="3" t="s">
        <v>9</v>
      </c>
      <c r="C11" s="11">
        <v>7</v>
      </c>
      <c r="D11" s="9">
        <v>0</v>
      </c>
    </row>
    <row r="12" spans="1:5" x14ac:dyDescent="0.2">
      <c r="A12" s="3" t="s">
        <v>7</v>
      </c>
      <c r="B12" s="3" t="s">
        <v>10</v>
      </c>
      <c r="C12" s="11">
        <v>5</v>
      </c>
      <c r="D12" s="9">
        <v>100</v>
      </c>
    </row>
    <row r="14" spans="1:5" x14ac:dyDescent="0.2">
      <c r="A14" s="1" t="s">
        <v>21</v>
      </c>
    </row>
    <row r="15" spans="1:5" x14ac:dyDescent="0.2">
      <c r="A15" s="4" t="s">
        <v>22</v>
      </c>
      <c r="B15" s="3" t="s">
        <v>23</v>
      </c>
      <c r="C15" s="3" t="s">
        <v>24</v>
      </c>
      <c r="D15" s="3" t="s">
        <v>25</v>
      </c>
    </row>
    <row r="16" spans="1:5" x14ac:dyDescent="0.2">
      <c r="A16" s="4" t="s">
        <v>5</v>
      </c>
      <c r="B16" s="4">
        <f>SUMIF($A$4:$A$12,A16,$D$4:$D$12)</f>
        <v>100</v>
      </c>
      <c r="C16" s="4" t="s">
        <v>26</v>
      </c>
      <c r="D16" s="4">
        <v>100</v>
      </c>
      <c r="E16" t="str">
        <f ca="1">_xlfn.FORMULATEXT(B16)</f>
        <v>=SUMIF($A$4:$A$12,A16,$D$4:$D$12)</v>
      </c>
    </row>
    <row r="17" spans="1:5" x14ac:dyDescent="0.2">
      <c r="A17" s="4" t="s">
        <v>6</v>
      </c>
      <c r="B17" s="4">
        <f t="shared" ref="B17:B18" si="0">SUMIF($A$4:$A$12,A17,$D$4:$D$12)</f>
        <v>300</v>
      </c>
      <c r="C17" s="4" t="s">
        <v>26</v>
      </c>
      <c r="D17" s="4">
        <v>300</v>
      </c>
      <c r="E17" t="str">
        <f t="shared" ref="E17:E18" ca="1" si="1">_xlfn.FORMULATEXT(B17)</f>
        <v>=SUMIF($A$4:$A$12,A17,$D$4:$D$12)</v>
      </c>
    </row>
    <row r="18" spans="1:5" x14ac:dyDescent="0.2">
      <c r="A18" s="4" t="s">
        <v>7</v>
      </c>
      <c r="B18" s="4">
        <f t="shared" si="0"/>
        <v>300</v>
      </c>
      <c r="C18" s="4" t="s">
        <v>26</v>
      </c>
      <c r="D18" s="4">
        <v>300</v>
      </c>
      <c r="E18" t="str">
        <f t="shared" ca="1" si="1"/>
        <v>=SUMIF($A$4:$A$12,A18,$D$4:$D$12)</v>
      </c>
    </row>
    <row r="20" spans="1:5" x14ac:dyDescent="0.2">
      <c r="A20" s="1" t="s">
        <v>27</v>
      </c>
    </row>
    <row r="21" spans="1:5" x14ac:dyDescent="0.2">
      <c r="A21" s="4" t="s">
        <v>28</v>
      </c>
      <c r="B21" s="3" t="s">
        <v>29</v>
      </c>
      <c r="C21" s="4" t="s">
        <v>24</v>
      </c>
      <c r="D21" s="3" t="s">
        <v>32</v>
      </c>
    </row>
    <row r="22" spans="1:5" x14ac:dyDescent="0.2">
      <c r="A22" s="4" t="s">
        <v>8</v>
      </c>
      <c r="B22" s="4">
        <f>SUMIF($B$4:$B$12,A22,$D$4:$D$12)</f>
        <v>300</v>
      </c>
      <c r="C22" s="4" t="s">
        <v>31</v>
      </c>
      <c r="D22" s="4">
        <v>300</v>
      </c>
    </row>
    <row r="23" spans="1:5" x14ac:dyDescent="0.2">
      <c r="A23" s="4" t="s">
        <v>9</v>
      </c>
      <c r="B23" s="4">
        <f t="shared" ref="B23:B24" si="2">SUMIF($B$4:$B$12,A23,$D$4:$D$12)</f>
        <v>200</v>
      </c>
      <c r="C23" s="4" t="s">
        <v>31</v>
      </c>
      <c r="D23" s="4">
        <v>200</v>
      </c>
    </row>
    <row r="24" spans="1:5" x14ac:dyDescent="0.2">
      <c r="A24" s="4" t="s">
        <v>10</v>
      </c>
      <c r="B24" s="4">
        <f t="shared" si="2"/>
        <v>200</v>
      </c>
      <c r="C24" s="4" t="s">
        <v>31</v>
      </c>
      <c r="D24" s="4">
        <v>200</v>
      </c>
    </row>
    <row r="26" spans="1:5" x14ac:dyDescent="0.2">
      <c r="A26" s="1" t="s">
        <v>33</v>
      </c>
      <c r="B26" s="13">
        <f>SUMPRODUCT(C4:C12,D4:D12)</f>
        <v>3900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11A9-67AD-2A48-BD10-28EA9486D91F}">
  <dimension ref="A1:F17"/>
  <sheetViews>
    <sheetView workbookViewId="0">
      <selection activeCell="I18" sqref="I18"/>
    </sheetView>
  </sheetViews>
  <sheetFormatPr baseColWidth="10" defaultRowHeight="16" x14ac:dyDescent="0.2"/>
  <cols>
    <col min="2" max="2" width="23" customWidth="1"/>
  </cols>
  <sheetData>
    <row r="1" spans="1:6" ht="20" x14ac:dyDescent="0.25">
      <c r="A1" s="44" t="s">
        <v>34</v>
      </c>
      <c r="B1" s="44"/>
    </row>
    <row r="2" spans="1:6" x14ac:dyDescent="0.2">
      <c r="A2" s="3"/>
      <c r="B2" s="3"/>
      <c r="C2" s="42" t="s">
        <v>11</v>
      </c>
      <c r="D2" s="42"/>
      <c r="E2" s="42"/>
    </row>
    <row r="3" spans="1:6" x14ac:dyDescent="0.2">
      <c r="A3" s="45" t="s">
        <v>4</v>
      </c>
      <c r="B3" s="46"/>
      <c r="C3" s="19" t="s">
        <v>38</v>
      </c>
      <c r="D3" s="19" t="s">
        <v>39</v>
      </c>
      <c r="E3" s="19" t="s">
        <v>40</v>
      </c>
      <c r="F3" s="7" t="s">
        <v>25</v>
      </c>
    </row>
    <row r="4" spans="1:6" x14ac:dyDescent="0.2">
      <c r="A4" s="43" t="s">
        <v>12</v>
      </c>
      <c r="B4" s="7" t="s">
        <v>35</v>
      </c>
      <c r="C4" s="17">
        <v>10</v>
      </c>
      <c r="D4" s="17">
        <v>4</v>
      </c>
      <c r="E4" s="17">
        <v>9</v>
      </c>
      <c r="F4" s="20">
        <v>80</v>
      </c>
    </row>
    <row r="5" spans="1:6" x14ac:dyDescent="0.2">
      <c r="A5" s="43"/>
      <c r="B5" s="7" t="s">
        <v>36</v>
      </c>
      <c r="C5" s="17">
        <v>12</v>
      </c>
      <c r="D5" s="17">
        <v>6</v>
      </c>
      <c r="E5" s="17">
        <v>8</v>
      </c>
      <c r="F5" s="20">
        <v>40</v>
      </c>
    </row>
    <row r="6" spans="1:6" x14ac:dyDescent="0.2">
      <c r="A6" s="43"/>
      <c r="B6" s="7" t="s">
        <v>37</v>
      </c>
      <c r="C6" s="17">
        <v>8</v>
      </c>
      <c r="D6" s="17">
        <v>9</v>
      </c>
      <c r="E6" s="17">
        <v>5</v>
      </c>
      <c r="F6" s="20">
        <v>30</v>
      </c>
    </row>
    <row r="7" spans="1:6" x14ac:dyDescent="0.2">
      <c r="B7" s="7" t="s">
        <v>3</v>
      </c>
      <c r="C7" s="20">
        <v>50</v>
      </c>
      <c r="D7" s="20">
        <v>40</v>
      </c>
      <c r="E7" s="20">
        <v>60</v>
      </c>
      <c r="F7" s="3"/>
    </row>
    <row r="10" spans="1:6" x14ac:dyDescent="0.2">
      <c r="A10" s="3"/>
      <c r="B10" s="3"/>
      <c r="C10" s="42" t="s">
        <v>11</v>
      </c>
      <c r="D10" s="42"/>
      <c r="E10" s="42"/>
    </row>
    <row r="11" spans="1:6" x14ac:dyDescent="0.2">
      <c r="A11" s="45" t="s">
        <v>4</v>
      </c>
      <c r="B11" s="46"/>
      <c r="C11" s="19" t="s">
        <v>38</v>
      </c>
      <c r="D11" s="19" t="s">
        <v>39</v>
      </c>
      <c r="E11" s="19" t="s">
        <v>40</v>
      </c>
      <c r="F11" s="7" t="s">
        <v>25</v>
      </c>
    </row>
    <row r="12" spans="1:6" x14ac:dyDescent="0.2">
      <c r="A12" s="43" t="s">
        <v>12</v>
      </c>
      <c r="B12" s="7" t="s">
        <v>35</v>
      </c>
      <c r="C12" s="22">
        <v>40</v>
      </c>
      <c r="D12" s="22">
        <v>40</v>
      </c>
      <c r="E12" s="22">
        <v>0</v>
      </c>
      <c r="F12" s="20">
        <f>SUM(C12:E12)</f>
        <v>80</v>
      </c>
    </row>
    <row r="13" spans="1:6" x14ac:dyDescent="0.2">
      <c r="A13" s="43"/>
      <c r="B13" s="7" t="s">
        <v>36</v>
      </c>
      <c r="C13" s="22">
        <v>0</v>
      </c>
      <c r="D13" s="22">
        <v>0</v>
      </c>
      <c r="E13" s="22">
        <v>40</v>
      </c>
      <c r="F13" s="20">
        <f>SUM(C13:E13)</f>
        <v>40</v>
      </c>
    </row>
    <row r="14" spans="1:6" x14ac:dyDescent="0.2">
      <c r="A14" s="43"/>
      <c r="B14" s="7" t="s">
        <v>37</v>
      </c>
      <c r="C14" s="22">
        <v>10</v>
      </c>
      <c r="D14" s="22">
        <v>0</v>
      </c>
      <c r="E14" s="22">
        <v>20</v>
      </c>
      <c r="F14" s="20">
        <f>SUM(C14:E14)</f>
        <v>30</v>
      </c>
    </row>
    <row r="15" spans="1:6" x14ac:dyDescent="0.2">
      <c r="B15" s="7" t="s">
        <v>3</v>
      </c>
      <c r="C15" s="20">
        <f>SUM(C12:C14)</f>
        <v>50</v>
      </c>
      <c r="D15" s="20">
        <f t="shared" ref="D15:E15" si="0">SUM(D12:D14)</f>
        <v>40</v>
      </c>
      <c r="E15" s="20">
        <f t="shared" si="0"/>
        <v>60</v>
      </c>
      <c r="F15" s="3"/>
    </row>
    <row r="17" spans="1:3" x14ac:dyDescent="0.2">
      <c r="A17" t="s">
        <v>41</v>
      </c>
      <c r="C17" s="23">
        <f>SUMPRODUCT(C4:E6,C12:E14)</f>
        <v>1060</v>
      </c>
    </row>
  </sheetData>
  <mergeCells count="7">
    <mergeCell ref="A12:A14"/>
    <mergeCell ref="A1:B1"/>
    <mergeCell ref="A4:A6"/>
    <mergeCell ref="C2:E2"/>
    <mergeCell ref="A3:B3"/>
    <mergeCell ref="C10:E10"/>
    <mergeCell ref="A11:B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D4F1-7BAC-AC48-8FEC-ECA41D486C2E}">
  <dimension ref="A1:K24"/>
  <sheetViews>
    <sheetView workbookViewId="0">
      <selection activeCell="F18" sqref="F18"/>
    </sheetView>
  </sheetViews>
  <sheetFormatPr baseColWidth="10" defaultRowHeight="16" x14ac:dyDescent="0.2"/>
  <cols>
    <col min="1" max="1" width="17.5" bestFit="1" customWidth="1"/>
  </cols>
  <sheetData>
    <row r="1" spans="1:11" ht="21" thickBot="1" x14ac:dyDescent="0.3">
      <c r="A1" s="24" t="s">
        <v>42</v>
      </c>
    </row>
    <row r="2" spans="1:11" ht="17" thickTop="1" x14ac:dyDescent="0.2"/>
    <row r="3" spans="1:11" x14ac:dyDescent="0.2">
      <c r="G3" s="27"/>
      <c r="K3" s="33" t="s">
        <v>50</v>
      </c>
    </row>
    <row r="4" spans="1:11" x14ac:dyDescent="0.2">
      <c r="G4" s="28"/>
    </row>
    <row r="5" spans="1:11" x14ac:dyDescent="0.2">
      <c r="G5" s="28"/>
    </row>
    <row r="6" spans="1:11" x14ac:dyDescent="0.2">
      <c r="G6" s="28"/>
    </row>
    <row r="9" spans="1:11" x14ac:dyDescent="0.2">
      <c r="A9" s="33"/>
      <c r="B9" s="4" t="s">
        <v>51</v>
      </c>
      <c r="C9" s="7" t="s">
        <v>46</v>
      </c>
      <c r="D9" s="7" t="s">
        <v>47</v>
      </c>
      <c r="E9" s="7" t="s">
        <v>48</v>
      </c>
      <c r="F9" s="7" t="s">
        <v>49</v>
      </c>
      <c r="G9" s="27"/>
    </row>
    <row r="10" spans="1:11" x14ac:dyDescent="0.2">
      <c r="B10" s="7" t="s">
        <v>43</v>
      </c>
      <c r="C10" s="26">
        <v>800</v>
      </c>
      <c r="D10" s="26">
        <v>1100</v>
      </c>
      <c r="E10" s="26">
        <v>1200</v>
      </c>
      <c r="F10" s="26">
        <v>1000</v>
      </c>
      <c r="G10" s="35"/>
    </row>
    <row r="11" spans="1:11" x14ac:dyDescent="0.2">
      <c r="B11" s="7" t="s">
        <v>44</v>
      </c>
      <c r="C11" s="26">
        <v>500</v>
      </c>
      <c r="D11" s="26">
        <v>1600</v>
      </c>
      <c r="E11" s="26">
        <v>1300</v>
      </c>
      <c r="F11" s="26">
        <v>800</v>
      </c>
      <c r="G11" s="35"/>
    </row>
    <row r="12" spans="1:11" x14ac:dyDescent="0.2">
      <c r="A12" s="29"/>
      <c r="B12" s="7" t="s">
        <v>45</v>
      </c>
      <c r="C12" s="26">
        <v>500</v>
      </c>
      <c r="D12" s="26">
        <v>1000</v>
      </c>
      <c r="E12" s="26">
        <v>2300</v>
      </c>
      <c r="F12" s="26">
        <v>1500</v>
      </c>
      <c r="G12" s="35"/>
    </row>
    <row r="13" spans="1:11" x14ac:dyDescent="0.2">
      <c r="A13" s="32"/>
      <c r="B13" s="27"/>
      <c r="C13" s="33"/>
      <c r="D13" s="28"/>
      <c r="E13" s="28"/>
      <c r="F13" s="28"/>
      <c r="G13" s="28"/>
    </row>
    <row r="14" spans="1:11" x14ac:dyDescent="0.2">
      <c r="A14" s="32"/>
      <c r="B14" s="27"/>
      <c r="C14" s="30"/>
      <c r="D14" s="30"/>
      <c r="E14" s="30"/>
      <c r="F14" s="30"/>
      <c r="G14" s="31"/>
    </row>
    <row r="15" spans="1:11" x14ac:dyDescent="0.2">
      <c r="A15" s="32"/>
      <c r="B15" s="27"/>
      <c r="C15" s="30"/>
      <c r="D15" s="30"/>
      <c r="E15" s="30"/>
      <c r="F15" s="30"/>
      <c r="G15" s="31"/>
    </row>
    <row r="16" spans="1:11" x14ac:dyDescent="0.2">
      <c r="A16" s="29"/>
      <c r="B16" s="4" t="s">
        <v>51</v>
      </c>
      <c r="C16" s="7" t="s">
        <v>46</v>
      </c>
      <c r="D16" s="7" t="s">
        <v>47</v>
      </c>
      <c r="E16" s="7" t="s">
        <v>48</v>
      </c>
      <c r="F16" s="7" t="s">
        <v>49</v>
      </c>
      <c r="G16" s="7" t="s">
        <v>53</v>
      </c>
      <c r="H16" s="7" t="s">
        <v>24</v>
      </c>
      <c r="I16" s="7" t="s">
        <v>54</v>
      </c>
    </row>
    <row r="17" spans="2:9" x14ac:dyDescent="0.2">
      <c r="B17" s="7" t="s">
        <v>43</v>
      </c>
      <c r="C17" s="22">
        <v>0</v>
      </c>
      <c r="D17" s="22">
        <v>1</v>
      </c>
      <c r="E17" s="22">
        <v>0</v>
      </c>
      <c r="F17" s="22">
        <v>0</v>
      </c>
      <c r="G17" s="20">
        <f>SUM(C17:F17)</f>
        <v>1</v>
      </c>
      <c r="H17" s="4" t="s">
        <v>30</v>
      </c>
      <c r="I17" s="4">
        <v>1</v>
      </c>
    </row>
    <row r="18" spans="2:9" x14ac:dyDescent="0.2">
      <c r="B18" s="7" t="s">
        <v>44</v>
      </c>
      <c r="C18" s="22">
        <v>0</v>
      </c>
      <c r="D18" s="22">
        <v>0</v>
      </c>
      <c r="E18" s="22">
        <v>0</v>
      </c>
      <c r="F18" s="22">
        <v>1</v>
      </c>
      <c r="G18" s="20">
        <f t="shared" ref="G18:G19" si="0">SUM(C18:F18)</f>
        <v>1</v>
      </c>
      <c r="H18" s="4" t="s">
        <v>30</v>
      </c>
      <c r="I18" s="4">
        <v>1</v>
      </c>
    </row>
    <row r="19" spans="2:9" x14ac:dyDescent="0.2">
      <c r="B19" s="7" t="s">
        <v>45</v>
      </c>
      <c r="C19" s="22">
        <v>1</v>
      </c>
      <c r="D19" s="22">
        <v>0</v>
      </c>
      <c r="E19" s="22">
        <v>0</v>
      </c>
      <c r="F19" s="22">
        <v>0</v>
      </c>
      <c r="G19" s="20">
        <f t="shared" si="0"/>
        <v>1</v>
      </c>
      <c r="H19" s="4" t="s">
        <v>30</v>
      </c>
      <c r="I19" s="4">
        <v>1</v>
      </c>
    </row>
    <row r="20" spans="2:9" x14ac:dyDescent="0.2">
      <c r="B20" s="7" t="s">
        <v>55</v>
      </c>
      <c r="C20" s="34">
        <f>SUM(C17:C19)</f>
        <v>1</v>
      </c>
      <c r="D20" s="34">
        <f t="shared" ref="D20:F20" si="1">SUM(D17:D19)</f>
        <v>1</v>
      </c>
      <c r="E20" s="34">
        <f t="shared" si="1"/>
        <v>0</v>
      </c>
      <c r="F20" s="34">
        <f t="shared" si="1"/>
        <v>1</v>
      </c>
      <c r="G20" s="28"/>
    </row>
    <row r="21" spans="2:9" x14ac:dyDescent="0.2">
      <c r="B21" s="7" t="s">
        <v>24</v>
      </c>
      <c r="C21" s="4" t="s">
        <v>56</v>
      </c>
      <c r="D21" s="4" t="s">
        <v>56</v>
      </c>
      <c r="E21" s="4" t="s">
        <v>56</v>
      </c>
      <c r="F21" s="4" t="s">
        <v>56</v>
      </c>
    </row>
    <row r="22" spans="2:9" x14ac:dyDescent="0.2">
      <c r="B22" s="7" t="s">
        <v>54</v>
      </c>
      <c r="C22" s="4">
        <v>1</v>
      </c>
      <c r="D22" s="4">
        <v>1</v>
      </c>
      <c r="E22" s="4">
        <v>1</v>
      </c>
      <c r="F22" s="4">
        <v>1</v>
      </c>
    </row>
    <row r="23" spans="2:9" x14ac:dyDescent="0.2">
      <c r="B23" s="27"/>
    </row>
    <row r="24" spans="2:9" x14ac:dyDescent="0.2">
      <c r="B24" s="27" t="s">
        <v>57</v>
      </c>
      <c r="D24" s="14">
        <f>SUMPRODUCT(C10:F12,C17:F19)</f>
        <v>2400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0ABE-B178-7E47-9ED4-C515C6AC4A6F}">
  <dimension ref="A1:H21"/>
  <sheetViews>
    <sheetView workbookViewId="0">
      <selection activeCell="I53" sqref="I53"/>
    </sheetView>
  </sheetViews>
  <sheetFormatPr baseColWidth="10" defaultRowHeight="16" x14ac:dyDescent="0.2"/>
  <cols>
    <col min="1" max="1" width="19.33203125" customWidth="1"/>
  </cols>
  <sheetData>
    <row r="1" spans="1:8" ht="24" x14ac:dyDescent="0.3">
      <c r="A1" s="36" t="s">
        <v>58</v>
      </c>
    </row>
    <row r="3" spans="1:8" x14ac:dyDescent="0.2">
      <c r="A3" t="s">
        <v>59</v>
      </c>
    </row>
    <row r="4" spans="1:8" x14ac:dyDescent="0.2">
      <c r="A4" s="3"/>
      <c r="B4" s="7" t="s">
        <v>64</v>
      </c>
      <c r="C4" s="7" t="s">
        <v>65</v>
      </c>
      <c r="D4" s="7" t="s">
        <v>66</v>
      </c>
      <c r="E4" s="7" t="s">
        <v>67</v>
      </c>
    </row>
    <row r="5" spans="1:8" x14ac:dyDescent="0.2">
      <c r="A5" s="4" t="s">
        <v>60</v>
      </c>
      <c r="B5" s="37">
        <v>1500</v>
      </c>
      <c r="C5" s="37">
        <v>1730</v>
      </c>
      <c r="D5" s="37">
        <v>1940</v>
      </c>
      <c r="E5" s="37">
        <v>2070</v>
      </c>
    </row>
    <row r="6" spans="1:8" x14ac:dyDescent="0.2">
      <c r="A6" s="4" t="s">
        <v>61</v>
      </c>
      <c r="B6" s="37">
        <v>460</v>
      </c>
      <c r="C6" s="37">
        <v>810</v>
      </c>
      <c r="D6" s="37">
        <v>1020</v>
      </c>
      <c r="E6" s="37">
        <v>1270</v>
      </c>
    </row>
    <row r="7" spans="1:8" x14ac:dyDescent="0.2">
      <c r="A7" s="4" t="s">
        <v>62</v>
      </c>
      <c r="B7" s="37">
        <v>1500</v>
      </c>
      <c r="C7" s="37">
        <v>1850</v>
      </c>
      <c r="D7" s="37">
        <v>2080</v>
      </c>
      <c r="E7" s="37">
        <v>0</v>
      </c>
    </row>
    <row r="8" spans="1:8" x14ac:dyDescent="0.2">
      <c r="A8" s="4" t="s">
        <v>63</v>
      </c>
      <c r="B8" s="37">
        <v>960</v>
      </c>
      <c r="C8" s="37">
        <v>610</v>
      </c>
      <c r="D8" s="37">
        <v>400</v>
      </c>
      <c r="E8" s="37">
        <v>330</v>
      </c>
    </row>
    <row r="9" spans="1:8" x14ac:dyDescent="0.2">
      <c r="A9" s="1"/>
    </row>
    <row r="10" spans="1:8" x14ac:dyDescent="0.2">
      <c r="A10" s="1" t="s">
        <v>52</v>
      </c>
    </row>
    <row r="11" spans="1:8" x14ac:dyDescent="0.2">
      <c r="A11" s="3"/>
      <c r="B11" s="7" t="s">
        <v>64</v>
      </c>
      <c r="C11" s="7" t="s">
        <v>65</v>
      </c>
      <c r="D11" s="7" t="s">
        <v>66</v>
      </c>
      <c r="E11" s="7" t="s">
        <v>67</v>
      </c>
      <c r="F11" s="7" t="s">
        <v>55</v>
      </c>
      <c r="G11" s="7" t="s">
        <v>24</v>
      </c>
      <c r="H11" s="7" t="s">
        <v>54</v>
      </c>
    </row>
    <row r="12" spans="1:8" x14ac:dyDescent="0.2">
      <c r="A12" s="4" t="s">
        <v>60</v>
      </c>
      <c r="B12" s="9">
        <v>0</v>
      </c>
      <c r="C12" s="9">
        <v>0</v>
      </c>
      <c r="D12" s="9">
        <v>1</v>
      </c>
      <c r="E12" s="9">
        <v>0</v>
      </c>
      <c r="F12" s="4">
        <f>SUM(B12:E12)</f>
        <v>1</v>
      </c>
      <c r="G12" s="4" t="s">
        <v>30</v>
      </c>
      <c r="H12" s="4">
        <v>1</v>
      </c>
    </row>
    <row r="13" spans="1:8" x14ac:dyDescent="0.2">
      <c r="A13" s="4" t="s">
        <v>61</v>
      </c>
      <c r="B13" s="9">
        <v>0</v>
      </c>
      <c r="C13" s="9">
        <v>1</v>
      </c>
      <c r="D13" s="9">
        <v>0</v>
      </c>
      <c r="E13" s="9">
        <v>0</v>
      </c>
      <c r="F13" s="4">
        <f t="shared" ref="F13:F15" si="0">SUM(B13:E13)</f>
        <v>1</v>
      </c>
      <c r="G13" s="4" t="s">
        <v>30</v>
      </c>
      <c r="H13" s="4">
        <v>1</v>
      </c>
    </row>
    <row r="14" spans="1:8" x14ac:dyDescent="0.2">
      <c r="A14" s="4" t="s">
        <v>62</v>
      </c>
      <c r="B14" s="9">
        <v>1</v>
      </c>
      <c r="C14" s="9">
        <v>0</v>
      </c>
      <c r="D14" s="9">
        <v>0</v>
      </c>
      <c r="E14" s="9">
        <v>0</v>
      </c>
      <c r="F14" s="4">
        <f t="shared" si="0"/>
        <v>1</v>
      </c>
      <c r="G14" s="4" t="s">
        <v>30</v>
      </c>
      <c r="H14" s="4">
        <v>1</v>
      </c>
    </row>
    <row r="15" spans="1:8" x14ac:dyDescent="0.2">
      <c r="A15" s="4" t="s">
        <v>63</v>
      </c>
      <c r="B15" s="9">
        <v>0</v>
      </c>
      <c r="C15" s="9">
        <v>0</v>
      </c>
      <c r="D15" s="9">
        <v>0</v>
      </c>
      <c r="E15" s="9">
        <v>1</v>
      </c>
      <c r="F15" s="4">
        <f t="shared" si="0"/>
        <v>1</v>
      </c>
      <c r="G15" s="4" t="s">
        <v>30</v>
      </c>
      <c r="H15" s="4">
        <v>1</v>
      </c>
    </row>
    <row r="16" spans="1:8" x14ac:dyDescent="0.2">
      <c r="A16" s="7" t="s">
        <v>55</v>
      </c>
      <c r="B16" s="4">
        <f>SUM(B12:B15)</f>
        <v>1</v>
      </c>
      <c r="C16" s="4">
        <f t="shared" ref="C16:D16" si="1">SUM(C12:C15)</f>
        <v>1</v>
      </c>
      <c r="D16" s="4">
        <f t="shared" si="1"/>
        <v>1</v>
      </c>
      <c r="E16" s="4">
        <f>SUM(E12:E13)+E15</f>
        <v>1</v>
      </c>
    </row>
    <row r="17" spans="1:5" x14ac:dyDescent="0.2">
      <c r="A17" s="7" t="s">
        <v>24</v>
      </c>
      <c r="B17" s="4" t="s">
        <v>26</v>
      </c>
      <c r="C17" s="4" t="s">
        <v>26</v>
      </c>
      <c r="D17" s="4" t="s">
        <v>26</v>
      </c>
      <c r="E17" s="4" t="s">
        <v>26</v>
      </c>
    </row>
    <row r="18" spans="1:5" x14ac:dyDescent="0.2">
      <c r="A18" s="7" t="s">
        <v>54</v>
      </c>
      <c r="B18" s="4">
        <v>1</v>
      </c>
      <c r="C18" s="4">
        <v>1</v>
      </c>
      <c r="D18" s="4">
        <v>1</v>
      </c>
      <c r="E18" s="4">
        <v>1</v>
      </c>
    </row>
    <row r="20" spans="1:5" x14ac:dyDescent="0.2">
      <c r="A20" s="27" t="s">
        <v>14</v>
      </c>
    </row>
    <row r="21" spans="1:5" x14ac:dyDescent="0.2">
      <c r="A21" s="33" t="s">
        <v>68</v>
      </c>
      <c r="B21" s="21">
        <f>SUMPRODUCT(B5:E8,B12:E15)</f>
        <v>4580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96DE-3D07-4740-BAC0-625BE7265346}">
  <dimension ref="A1:H21"/>
  <sheetViews>
    <sheetView workbookViewId="0">
      <selection activeCell="B21" sqref="B21"/>
    </sheetView>
  </sheetViews>
  <sheetFormatPr baseColWidth="10" defaultRowHeight="16" x14ac:dyDescent="0.2"/>
  <cols>
    <col min="1" max="1" width="28.6640625" bestFit="1" customWidth="1"/>
    <col min="3" max="3" width="11.6640625" bestFit="1" customWidth="1"/>
  </cols>
  <sheetData>
    <row r="1" spans="1:8" x14ac:dyDescent="0.2">
      <c r="A1" s="6" t="s">
        <v>69</v>
      </c>
    </row>
    <row r="3" spans="1:8" x14ac:dyDescent="0.2">
      <c r="A3" t="s">
        <v>70</v>
      </c>
    </row>
    <row r="4" spans="1:8" x14ac:dyDescent="0.2">
      <c r="A4" s="3"/>
      <c r="B4" s="7" t="s">
        <v>75</v>
      </c>
      <c r="C4" s="7" t="s">
        <v>76</v>
      </c>
      <c r="D4" s="7" t="s">
        <v>77</v>
      </c>
      <c r="E4" s="7" t="s">
        <v>78</v>
      </c>
    </row>
    <row r="5" spans="1:8" x14ac:dyDescent="0.2">
      <c r="A5" s="7" t="s">
        <v>71</v>
      </c>
      <c r="B5" s="37">
        <v>80</v>
      </c>
      <c r="C5" s="37">
        <v>85</v>
      </c>
      <c r="D5" s="37">
        <v>96</v>
      </c>
      <c r="E5" s="37">
        <v>40</v>
      </c>
    </row>
    <row r="6" spans="1:8" x14ac:dyDescent="0.2">
      <c r="A6" s="7" t="s">
        <v>72</v>
      </c>
      <c r="B6" s="37">
        <v>85</v>
      </c>
      <c r="C6" s="37">
        <v>30</v>
      </c>
      <c r="D6" s="37">
        <v>75</v>
      </c>
      <c r="E6" s="37">
        <v>65</v>
      </c>
    </row>
    <row r="7" spans="1:8" x14ac:dyDescent="0.2">
      <c r="A7" s="7" t="s">
        <v>73</v>
      </c>
      <c r="B7" s="37">
        <v>90</v>
      </c>
      <c r="C7" s="37">
        <v>55</v>
      </c>
      <c r="D7" s="37">
        <v>80</v>
      </c>
      <c r="E7" s="37">
        <v>70</v>
      </c>
    </row>
    <row r="8" spans="1:8" x14ac:dyDescent="0.2">
      <c r="A8" s="7" t="s">
        <v>74</v>
      </c>
      <c r="B8" s="37">
        <v>55</v>
      </c>
      <c r="C8" s="37">
        <v>80</v>
      </c>
      <c r="D8" s="37">
        <v>65</v>
      </c>
      <c r="E8" s="37">
        <v>50</v>
      </c>
    </row>
    <row r="11" spans="1:8" x14ac:dyDescent="0.2">
      <c r="A11" s="3"/>
      <c r="B11" s="7" t="s">
        <v>75</v>
      </c>
      <c r="C11" s="7" t="s">
        <v>76</v>
      </c>
      <c r="D11" s="7" t="s">
        <v>77</v>
      </c>
      <c r="E11" s="7" t="s">
        <v>78</v>
      </c>
      <c r="F11" s="7" t="s">
        <v>55</v>
      </c>
      <c r="G11" s="7" t="s">
        <v>24</v>
      </c>
      <c r="H11" s="7" t="s">
        <v>54</v>
      </c>
    </row>
    <row r="12" spans="1:8" x14ac:dyDescent="0.2">
      <c r="A12" s="7" t="s">
        <v>71</v>
      </c>
      <c r="B12" s="9">
        <v>0</v>
      </c>
      <c r="C12" s="9">
        <v>0</v>
      </c>
      <c r="D12" s="9">
        <v>1</v>
      </c>
      <c r="E12" s="9">
        <v>0</v>
      </c>
      <c r="F12" s="4">
        <f>SUM(B12:E12)</f>
        <v>1</v>
      </c>
      <c r="G12" s="4" t="s">
        <v>30</v>
      </c>
      <c r="H12" s="4">
        <v>1</v>
      </c>
    </row>
    <row r="13" spans="1:8" x14ac:dyDescent="0.2">
      <c r="A13" s="7" t="s">
        <v>72</v>
      </c>
      <c r="B13" s="9">
        <v>0</v>
      </c>
      <c r="C13" s="9">
        <v>0</v>
      </c>
      <c r="D13" s="9">
        <v>0</v>
      </c>
      <c r="E13" s="9">
        <v>1</v>
      </c>
      <c r="F13" s="4">
        <f t="shared" ref="F13:F15" si="0">SUM(B13:E13)</f>
        <v>1</v>
      </c>
      <c r="G13" s="4" t="s">
        <v>30</v>
      </c>
      <c r="H13" s="4">
        <v>1</v>
      </c>
    </row>
    <row r="14" spans="1:8" x14ac:dyDescent="0.2">
      <c r="A14" s="7" t="s">
        <v>73</v>
      </c>
      <c r="B14" s="9">
        <v>1</v>
      </c>
      <c r="C14" s="9">
        <v>0</v>
      </c>
      <c r="D14" s="9">
        <v>0</v>
      </c>
      <c r="E14" s="9">
        <v>0</v>
      </c>
      <c r="F14" s="4">
        <f t="shared" si="0"/>
        <v>1</v>
      </c>
      <c r="G14" s="4" t="s">
        <v>30</v>
      </c>
      <c r="H14" s="4">
        <v>1</v>
      </c>
    </row>
    <row r="15" spans="1:8" x14ac:dyDescent="0.2">
      <c r="A15" s="7" t="s">
        <v>74</v>
      </c>
      <c r="B15" s="9">
        <v>0</v>
      </c>
      <c r="C15" s="9">
        <v>1</v>
      </c>
      <c r="D15" s="9">
        <v>0</v>
      </c>
      <c r="E15" s="9">
        <v>0</v>
      </c>
      <c r="F15" s="4">
        <f t="shared" si="0"/>
        <v>1</v>
      </c>
      <c r="G15" s="4" t="s">
        <v>30</v>
      </c>
      <c r="H15" s="4">
        <v>1</v>
      </c>
    </row>
    <row r="16" spans="1:8" x14ac:dyDescent="0.2">
      <c r="A16" s="38" t="s">
        <v>55</v>
      </c>
      <c r="B16" s="4">
        <f>SUM(B12:B15)</f>
        <v>1</v>
      </c>
      <c r="C16" s="4">
        <f t="shared" ref="C16:E16" si="1">SUM(C12:C15)</f>
        <v>1</v>
      </c>
      <c r="D16" s="4">
        <f t="shared" si="1"/>
        <v>1</v>
      </c>
      <c r="E16" s="4">
        <f t="shared" si="1"/>
        <v>1</v>
      </c>
    </row>
    <row r="17" spans="1:5" x14ac:dyDescent="0.2">
      <c r="A17" s="38" t="s">
        <v>24</v>
      </c>
      <c r="B17" s="4" t="s">
        <v>26</v>
      </c>
      <c r="C17" s="4" t="s">
        <v>26</v>
      </c>
      <c r="D17" s="4" t="s">
        <v>26</v>
      </c>
      <c r="E17" s="4" t="s">
        <v>26</v>
      </c>
    </row>
    <row r="18" spans="1:5" x14ac:dyDescent="0.2">
      <c r="A18" s="38" t="s">
        <v>54</v>
      </c>
      <c r="B18" s="4">
        <v>1</v>
      </c>
      <c r="C18" s="4">
        <v>1</v>
      </c>
      <c r="D18" s="4">
        <v>1</v>
      </c>
      <c r="E18" s="4">
        <v>1</v>
      </c>
    </row>
    <row r="20" spans="1:5" x14ac:dyDescent="0.2">
      <c r="A20" s="27" t="s">
        <v>79</v>
      </c>
    </row>
    <row r="21" spans="1:5" x14ac:dyDescent="0.2">
      <c r="A21" s="27" t="s">
        <v>80</v>
      </c>
      <c r="B21" s="21">
        <f>SUMPRODUCT(B5:E8,B12:E15)</f>
        <v>331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0073-A3F5-B342-AF88-4E1B99928E20}">
  <dimension ref="A1:AA40"/>
  <sheetViews>
    <sheetView tabSelected="1" workbookViewId="0">
      <selection activeCell="B40" sqref="B40"/>
    </sheetView>
  </sheetViews>
  <sheetFormatPr baseColWidth="10" defaultRowHeight="16" x14ac:dyDescent="0.2"/>
  <cols>
    <col min="1" max="1" width="33" bestFit="1" customWidth="1"/>
    <col min="5" max="5" width="17.6640625" bestFit="1" customWidth="1"/>
    <col min="8" max="8" width="17.6640625" bestFit="1" customWidth="1"/>
  </cols>
  <sheetData>
    <row r="1" spans="1:27" ht="24" x14ac:dyDescent="0.3">
      <c r="A1" s="36" t="s">
        <v>81</v>
      </c>
    </row>
    <row r="2" spans="1:27" x14ac:dyDescent="0.2">
      <c r="A2" t="s">
        <v>82</v>
      </c>
    </row>
    <row r="3" spans="1:27" x14ac:dyDescent="0.2">
      <c r="A3" s="3"/>
      <c r="B3" s="7" t="s">
        <v>85</v>
      </c>
      <c r="C3" s="7" t="s">
        <v>86</v>
      </c>
      <c r="D3" s="7" t="s">
        <v>87</v>
      </c>
      <c r="E3" s="7" t="s">
        <v>23</v>
      </c>
    </row>
    <row r="4" spans="1:27" x14ac:dyDescent="0.2">
      <c r="A4" s="7" t="s">
        <v>83</v>
      </c>
      <c r="B4" s="39">
        <v>22</v>
      </c>
      <c r="C4" s="39">
        <v>14</v>
      </c>
      <c r="D4" s="39">
        <v>30</v>
      </c>
      <c r="E4" s="20">
        <v>100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0</v>
      </c>
    </row>
    <row r="5" spans="1:27" x14ac:dyDescent="0.2">
      <c r="A5" s="7" t="s">
        <v>84</v>
      </c>
      <c r="B5" s="39">
        <v>16</v>
      </c>
      <c r="C5" s="39">
        <v>20</v>
      </c>
      <c r="D5" s="39">
        <v>24</v>
      </c>
      <c r="E5" s="20">
        <v>120</v>
      </c>
    </row>
    <row r="6" spans="1:27" x14ac:dyDescent="0.2">
      <c r="A6" s="7" t="s">
        <v>32</v>
      </c>
      <c r="B6" s="4">
        <v>80</v>
      </c>
      <c r="C6" s="4">
        <v>60</v>
      </c>
      <c r="D6" s="4">
        <v>70</v>
      </c>
    </row>
    <row r="8" spans="1:27" x14ac:dyDescent="0.2">
      <c r="A8" s="27"/>
      <c r="C8" s="25"/>
    </row>
    <row r="9" spans="1:27" x14ac:dyDescent="0.2">
      <c r="A9" s="3" t="s">
        <v>90</v>
      </c>
      <c r="B9" s="7" t="s">
        <v>85</v>
      </c>
      <c r="C9" s="7" t="s">
        <v>86</v>
      </c>
      <c r="D9" s="7" t="s">
        <v>87</v>
      </c>
      <c r="E9" s="7" t="s">
        <v>55</v>
      </c>
      <c r="F9" s="7" t="s">
        <v>24</v>
      </c>
      <c r="G9" s="7" t="s">
        <v>54</v>
      </c>
      <c r="H9" s="18" t="s">
        <v>88</v>
      </c>
    </row>
    <row r="10" spans="1:27" x14ac:dyDescent="0.2">
      <c r="A10" s="7" t="s">
        <v>83</v>
      </c>
      <c r="B10" s="22">
        <v>30</v>
      </c>
      <c r="C10" s="22">
        <v>60</v>
      </c>
      <c r="D10" s="22">
        <v>0</v>
      </c>
      <c r="E10" s="40">
        <f>SUM(B10:D10)</f>
        <v>90</v>
      </c>
      <c r="F10" s="4" t="s">
        <v>26</v>
      </c>
      <c r="G10" s="3">
        <v>100</v>
      </c>
      <c r="H10" s="2">
        <v>6</v>
      </c>
    </row>
    <row r="11" spans="1:27" x14ac:dyDescent="0.2">
      <c r="A11" s="7" t="s">
        <v>84</v>
      </c>
      <c r="B11" s="22">
        <v>50</v>
      </c>
      <c r="C11" s="22">
        <v>0</v>
      </c>
      <c r="D11" s="22">
        <v>70</v>
      </c>
      <c r="E11" s="40">
        <f>SUM(B11:D11)</f>
        <v>120</v>
      </c>
      <c r="F11" s="4" t="s">
        <v>26</v>
      </c>
      <c r="G11" s="3">
        <v>120</v>
      </c>
      <c r="H11" s="2">
        <v>6.25</v>
      </c>
    </row>
    <row r="12" spans="1:27" x14ac:dyDescent="0.2">
      <c r="A12" s="7" t="s">
        <v>55</v>
      </c>
      <c r="B12" s="4">
        <f>SUM(B10:B11)</f>
        <v>80</v>
      </c>
      <c r="C12" s="4">
        <f t="shared" ref="C12:D12" si="0">SUM(C10:C11)</f>
        <v>60</v>
      </c>
      <c r="D12" s="4">
        <f t="shared" si="0"/>
        <v>70</v>
      </c>
    </row>
    <row r="13" spans="1:27" x14ac:dyDescent="0.2">
      <c r="A13" s="7" t="s">
        <v>24</v>
      </c>
      <c r="B13" s="4" t="s">
        <v>30</v>
      </c>
      <c r="C13" s="4" t="s">
        <v>30</v>
      </c>
      <c r="D13" s="4" t="s">
        <v>30</v>
      </c>
    </row>
    <row r="14" spans="1:27" x14ac:dyDescent="0.2">
      <c r="A14" s="7" t="s">
        <v>54</v>
      </c>
      <c r="B14" s="4">
        <v>80</v>
      </c>
      <c r="C14" s="4">
        <v>60</v>
      </c>
      <c r="D14" s="4">
        <v>70</v>
      </c>
    </row>
    <row r="18" spans="1:7" x14ac:dyDescent="0.2">
      <c r="A18" s="27" t="s">
        <v>89</v>
      </c>
      <c r="B18" s="13" cm="1">
        <f t="array" ref="B18">SUMPRODUCT(B10:D11,B4:D5)+SUM((B10:D10)*H10)+SUM(B11:D11)*H11</f>
        <v>5270</v>
      </c>
    </row>
    <row r="23" spans="1:7" x14ac:dyDescent="0.2">
      <c r="A23" t="s">
        <v>95</v>
      </c>
      <c r="B23" s="49" t="s">
        <v>96</v>
      </c>
      <c r="C23" s="49"/>
      <c r="D23" s="49"/>
    </row>
    <row r="24" spans="1:7" x14ac:dyDescent="0.2">
      <c r="A24" s="3"/>
      <c r="B24" s="3" t="s">
        <v>92</v>
      </c>
      <c r="C24" s="3" t="s">
        <v>93</v>
      </c>
      <c r="D24" s="3" t="s">
        <v>94</v>
      </c>
    </row>
    <row r="25" spans="1:7" x14ac:dyDescent="0.2">
      <c r="A25" s="4" t="s">
        <v>35</v>
      </c>
      <c r="B25" s="41">
        <v>5</v>
      </c>
      <c r="C25" s="41">
        <v>8</v>
      </c>
      <c r="D25" s="41">
        <v>6</v>
      </c>
    </row>
    <row r="26" spans="1:7" x14ac:dyDescent="0.2">
      <c r="A26" s="4" t="s">
        <v>36</v>
      </c>
      <c r="B26" s="41">
        <v>10</v>
      </c>
      <c r="C26" s="41">
        <v>9</v>
      </c>
      <c r="D26" s="41">
        <v>12</v>
      </c>
    </row>
    <row r="27" spans="1:7" x14ac:dyDescent="0.2">
      <c r="A27" s="4" t="s">
        <v>37</v>
      </c>
      <c r="B27" s="41">
        <v>7</v>
      </c>
      <c r="C27" s="41">
        <v>6</v>
      </c>
      <c r="D27" s="41">
        <v>10</v>
      </c>
    </row>
    <row r="31" spans="1:7" x14ac:dyDescent="0.2">
      <c r="A31" s="3" t="s">
        <v>91</v>
      </c>
      <c r="B31" s="45" t="s">
        <v>11</v>
      </c>
      <c r="C31" s="47"/>
      <c r="D31" s="48"/>
    </row>
    <row r="32" spans="1:7" x14ac:dyDescent="0.2">
      <c r="A32" s="3"/>
      <c r="B32" s="4" t="s">
        <v>92</v>
      </c>
      <c r="C32" s="4" t="s">
        <v>93</v>
      </c>
      <c r="D32" s="4" t="s">
        <v>94</v>
      </c>
      <c r="E32" s="4" t="s">
        <v>55</v>
      </c>
      <c r="F32" s="4" t="s">
        <v>24</v>
      </c>
      <c r="G32" s="4" t="s">
        <v>54</v>
      </c>
    </row>
    <row r="33" spans="1:7" x14ac:dyDescent="0.2">
      <c r="A33" s="4" t="s">
        <v>35</v>
      </c>
      <c r="B33" s="16">
        <v>0</v>
      </c>
      <c r="C33" s="16">
        <v>60</v>
      </c>
      <c r="D33" s="16">
        <v>0</v>
      </c>
      <c r="E33" s="4">
        <f>SUM(B33:D33)</f>
        <v>60</v>
      </c>
      <c r="F33" s="4" t="s">
        <v>26</v>
      </c>
      <c r="G33" s="4">
        <v>60</v>
      </c>
    </row>
    <row r="34" spans="1:7" x14ac:dyDescent="0.2">
      <c r="A34" s="4" t="s">
        <v>36</v>
      </c>
      <c r="B34" s="16">
        <v>45</v>
      </c>
      <c r="C34" s="16">
        <v>30</v>
      </c>
      <c r="D34" s="16">
        <v>30</v>
      </c>
      <c r="E34" s="4">
        <f t="shared" ref="E34:E35" si="1">SUM(B34:D34)</f>
        <v>105</v>
      </c>
      <c r="F34" s="4" t="s">
        <v>26</v>
      </c>
      <c r="G34" s="4">
        <v>105</v>
      </c>
    </row>
    <row r="35" spans="1:7" x14ac:dyDescent="0.2">
      <c r="A35" s="4" t="s">
        <v>37</v>
      </c>
      <c r="B35" s="16">
        <v>0</v>
      </c>
      <c r="C35" s="16">
        <v>0</v>
      </c>
      <c r="D35" s="16">
        <v>5</v>
      </c>
      <c r="E35" s="4">
        <f t="shared" si="1"/>
        <v>5</v>
      </c>
      <c r="F35" s="4" t="s">
        <v>26</v>
      </c>
      <c r="G35" s="4">
        <v>70</v>
      </c>
    </row>
    <row r="36" spans="1:7" x14ac:dyDescent="0.2">
      <c r="A36" s="4" t="s">
        <v>55</v>
      </c>
      <c r="B36" s="4">
        <f>SUM(B33:B35)</f>
        <v>45</v>
      </c>
      <c r="C36" s="4">
        <f t="shared" ref="C36:D36" si="2">SUM(C33:C35)</f>
        <v>90</v>
      </c>
      <c r="D36" s="4">
        <f t="shared" si="2"/>
        <v>35</v>
      </c>
    </row>
    <row r="37" spans="1:7" x14ac:dyDescent="0.2">
      <c r="A37" s="4" t="s">
        <v>24</v>
      </c>
      <c r="B37" s="4" t="s">
        <v>30</v>
      </c>
      <c r="C37" s="4" t="s">
        <v>30</v>
      </c>
      <c r="D37" s="4" t="s">
        <v>30</v>
      </c>
    </row>
    <row r="38" spans="1:7" x14ac:dyDescent="0.2">
      <c r="A38" s="4" t="s">
        <v>54</v>
      </c>
      <c r="B38" s="4">
        <v>45</v>
      </c>
      <c r="C38" s="4">
        <v>90</v>
      </c>
      <c r="D38" s="4">
        <v>35</v>
      </c>
    </row>
    <row r="40" spans="1:7" x14ac:dyDescent="0.2">
      <c r="A40" s="27" t="s">
        <v>97</v>
      </c>
      <c r="B40" s="12">
        <f>SUMPRODUCT(B33:D35,B25:D27)</f>
        <v>1610</v>
      </c>
    </row>
  </sheetData>
  <mergeCells count="2">
    <mergeCell ref="B31:D31"/>
    <mergeCell ref="B23:D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Transportation Problem</vt:lpstr>
      <vt:lpstr>Alternative Excel Template</vt:lpstr>
      <vt:lpstr>Construction Projects</vt:lpstr>
      <vt:lpstr>New Hire Assignments</vt:lpstr>
      <vt:lpstr>Umpire Assignment</vt:lpstr>
      <vt:lpstr>College Professors</vt:lpstr>
      <vt:lpstr>Transpo &amp; Assignment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Dean-Jones</dc:creator>
  <cp:lastModifiedBy>Aidan Dean-Jones</cp:lastModifiedBy>
  <dcterms:created xsi:type="dcterms:W3CDTF">2024-11-18T18:24:55Z</dcterms:created>
  <dcterms:modified xsi:type="dcterms:W3CDTF">2024-12-17T19:14:54Z</dcterms:modified>
</cp:coreProperties>
</file>