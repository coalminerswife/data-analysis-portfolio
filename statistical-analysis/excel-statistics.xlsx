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Ex2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+xml"/>
  <Override PartName="/xl/charts/chartEx3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Ex4.xml" ContentType="application/vnd.ms-office.chartex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charts/chart7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23.xml" ContentType="application/vnd.openxmlformats-officedocument.drawing+xml"/>
  <Override PartName="/xl/charts/chart8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24.xml" ContentType="application/vnd.openxmlformats-officedocument.drawing+xml"/>
  <Override PartName="/xl/charts/chart9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25.xml" ContentType="application/vnd.openxmlformats-officedocument.drawing+xml"/>
  <Override PartName="/xl/charts/chart10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26.xml" ContentType="application/vnd.openxmlformats-officedocument.drawing+xml"/>
  <Override PartName="/xl/charts/chart11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27.xml" ContentType="application/vnd.openxmlformats-officedocument.drawing+xml"/>
  <Override PartName="/xl/charts/chart12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28.xml" ContentType="application/vnd.openxmlformats-officedocument.drawing+xml"/>
  <Override PartName="/xl/charts/chart13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29.xml" ContentType="application/vnd.openxmlformats-officedocument.drawing+xml"/>
  <Override PartName="/xl/charts/chart14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30.xml" ContentType="application/vnd.openxmlformats-officedocument.drawing+xml"/>
  <Override PartName="/xl/charts/chart15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31.xml" ContentType="application/vnd.openxmlformats-officedocument.drawing+xml"/>
  <Override PartName="/xl/charts/chart16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32.xml" ContentType="application/vnd.openxmlformats-officedocument.drawing+xml"/>
  <Override PartName="/xl/charts/chart17.xml" ContentType="application/vnd.openxmlformats-officedocument.drawingml.chart+xml"/>
  <Override PartName="/xl/drawings/drawing33.xml" ContentType="application/vnd.openxmlformats-officedocument.drawing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/Users/aidan/Desktop/"/>
    </mc:Choice>
  </mc:AlternateContent>
  <xr:revisionPtr revIDLastSave="0" documentId="8_{F1E05715-2A13-4348-B666-FF429748DFC2}" xr6:coauthVersionLast="47" xr6:coauthVersionMax="47" xr10:uidLastSave="{00000000-0000-0000-0000-000000000000}"/>
  <bookViews>
    <workbookView xWindow="14680" yWindow="960" windowWidth="22080" windowHeight="22780" firstSheet="36" activeTab="37" xr2:uid="{DBB1C2DB-5775-4DD4-8093-368BA7E7FA97}"/>
  </bookViews>
  <sheets>
    <sheet name="RAW DATA" sheetId="3" r:id="rId1"/>
    <sheet name="TABLE OF CONTENTS" sheetId="1" r:id="rId2"/>
    <sheet name="Categorical Distributions" sheetId="4" r:id="rId3"/>
    <sheet name="Numerical Distributions" sheetId="5" r:id="rId4"/>
    <sheet name="Histograms" sheetId="6" r:id="rId5"/>
    <sheet name="Frequency Distributions" sheetId="7" r:id="rId6"/>
    <sheet name="Mean, Median, Mode" sheetId="11" r:id="rId7"/>
    <sheet name="Skew" sheetId="13" r:id="rId8"/>
    <sheet name="Central Tendency" sheetId="14" r:id="rId9"/>
    <sheet name="Min, Max, Range" sheetId="15" r:id="rId10"/>
    <sheet name="Quartiles &amp; IQR" sheetId="16" r:id="rId11"/>
    <sheet name="Box &amp; Whisker" sheetId="17" r:id="rId12"/>
    <sheet name="Variance &amp; Std Dev" sheetId="18" r:id="rId13"/>
    <sheet name="Coefficient of Variation" sheetId="20" r:id="rId14"/>
    <sheet name="Variability" sheetId="19" r:id="rId15"/>
    <sheet name="Normal Distribution" sheetId="21" r:id="rId16"/>
    <sheet name="Z-Scores" sheetId="22" r:id="rId17"/>
    <sheet name="Empirical Rule" sheetId="23" r:id="rId18"/>
    <sheet name="Normal Distributions" sheetId="25" r:id="rId19"/>
    <sheet name="NORM.DIST" sheetId="27" r:id="rId20"/>
    <sheet name="NORM.S.DIST" sheetId="29" r:id="rId21"/>
    <sheet name="Calculating Probabilities" sheetId="28" r:id="rId22"/>
    <sheet name="Normal Curve" sheetId="26" r:id="rId23"/>
    <sheet name="NORM.INV" sheetId="30" r:id="rId24"/>
    <sheet name="NORM.S.INV" sheetId="31" r:id="rId25"/>
    <sheet name="Estimating Values" sheetId="32" r:id="rId26"/>
    <sheet name="Margin of Error" sheetId="33" r:id="rId27"/>
    <sheet name="Confidence Intervals (z)" sheetId="34" r:id="rId28"/>
    <sheet name="T Distribution" sheetId="35" r:id="rId29"/>
    <sheet name="Confidence Intervals (t)" sheetId="36" r:id="rId30"/>
    <sheet name="Proportions" sheetId="37" r:id="rId31"/>
    <sheet name="Confidence Intervals (p)" sheetId="38" r:id="rId32"/>
    <sheet name="Dependent Samples" sheetId="39" r:id="rId33"/>
    <sheet name="Confidence Intervals (d)" sheetId="40" r:id="rId34"/>
    <sheet name="Independent Samples" sheetId="41" r:id="rId35"/>
    <sheet name="Confidence Intervals (x1-x2)" sheetId="42" r:id="rId36"/>
    <sheet name="Confidence Intervals (p1-p2)" sheetId="43" r:id="rId37"/>
    <sheet name="Null &amp; Alternative Hypothesis" sheetId="44" r:id="rId38"/>
    <sheet name="Significance Level" sheetId="45" r:id="rId39"/>
    <sheet name="Test Statistic" sheetId="46" r:id="rId40"/>
    <sheet name="P-Value" sheetId="47" r:id="rId41"/>
    <sheet name="Conclusion" sheetId="69" r:id="rId42"/>
    <sheet name="Hypothesis Tests (Two Tail)" sheetId="48" r:id="rId43"/>
    <sheet name="One Tail Hypothesis Test" sheetId="49" r:id="rId44"/>
    <sheet name="Hypothesis Tests (p)" sheetId="51" r:id="rId45"/>
    <sheet name="Hypothesis Tests (d)" sheetId="52" r:id="rId46"/>
    <sheet name="Hypothesis Tests (x1-x2)" sheetId="53" r:id="rId47"/>
    <sheet name="Scatterplots" sheetId="54" r:id="rId48"/>
    <sheet name="Correlation" sheetId="55" r:id="rId49"/>
    <sheet name="Linear Relationships" sheetId="56" r:id="rId50"/>
    <sheet name="Linear Regression" sheetId="57" r:id="rId51"/>
    <sheet name="Predictions" sheetId="58" r:id="rId52"/>
    <sheet name="Linear Regression Model" sheetId="59" r:id="rId53"/>
    <sheet name="R-Squared" sheetId="61" r:id="rId54"/>
    <sheet name="Standard Error" sheetId="63" r:id="rId55"/>
    <sheet name="Homoskedasticity" sheetId="64" r:id="rId56"/>
    <sheet name="Hypothesis Test" sheetId="65" r:id="rId57"/>
    <sheet name="Model Evaluation" sheetId="62" r:id="rId58"/>
    <sheet name="Analysis ToolPak" sheetId="66" r:id="rId59"/>
    <sheet name="Multiple Linear Regression" sheetId="68" r:id="rId60"/>
  </sheets>
  <definedNames>
    <definedName name="_xlnm._FilterDatabase" localSheetId="58" hidden="1">'Analysis ToolPak'!#REF!</definedName>
    <definedName name="_xlnm._FilterDatabase" localSheetId="21" hidden="1">'Calculating Probabilities'!$B$5:$B$100</definedName>
    <definedName name="_xlnm._FilterDatabase" localSheetId="8" hidden="1">'Central Tendency'!#REF!</definedName>
    <definedName name="_xlnm._FilterDatabase" localSheetId="55" hidden="1">Homoskedasticity!#REF!</definedName>
    <definedName name="_xlnm._FilterDatabase" localSheetId="56" hidden="1">'Hypothesis Test'!#REF!</definedName>
    <definedName name="_xlnm._FilterDatabase" localSheetId="46" hidden="1">'Hypothesis Tests (x1-x2)'!$A$5:$C$58</definedName>
    <definedName name="_xlnm._FilterDatabase" localSheetId="49" hidden="1">'Linear Relationships'!$B$5:$F$58</definedName>
    <definedName name="_xlnm._FilterDatabase" localSheetId="6" hidden="1">'Mean, Median, Mode'!#REF!</definedName>
    <definedName name="_xlnm._FilterDatabase" localSheetId="0" hidden="1">'RAW DATA'!$A$1:$I$96</definedName>
    <definedName name="_xlnm._FilterDatabase" localSheetId="7" hidden="1">Skew!#REF!</definedName>
    <definedName name="_xlchart.v1.0" hidden="1">Histograms!$B$6:$B$58</definedName>
    <definedName name="_xlchart.v1.1" hidden="1">'Box &amp; Whisker'!$B$5</definedName>
    <definedName name="_xlchart.v1.2" hidden="1">'Box &amp; Whisker'!$B$6:$B$100</definedName>
    <definedName name="_xlchart.v1.3" hidden="1">'Box &amp; Whisker'!$C$5</definedName>
    <definedName name="_xlchart.v1.4" hidden="1">'Box &amp; Whisker'!$C$6:$C$100</definedName>
    <definedName name="_xlchart.v1.5" hidden="1">Variability!$B$6:$B$100</definedName>
    <definedName name="_xlchart.v1.6" hidden="1">Variability!$C$6:$C$100</definedName>
    <definedName name="_xlchart.v1.7" hidden="1">'Normal Distributions'!$B$6:$B$58</definedName>
  </definedNames>
  <calcPr calcId="191029"/>
  <pivotCaches>
    <pivotCache cacheId="0" r:id="rId61"/>
    <pivotCache cacheId="1" r:id="rId62"/>
    <pivotCache cacheId="2" r:id="rId63"/>
    <pivotCache cacheId="3" r:id="rId64"/>
    <pivotCache cacheId="4" r:id="rId65"/>
    <pivotCache cacheId="5" r:id="rId6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8" i="68" l="1"/>
  <c r="O6" i="61" a="1"/>
  <c r="O6" i="61" s="1"/>
  <c r="O8" i="61" s="1"/>
  <c r="T7" i="59"/>
  <c r="Q7" i="59"/>
  <c r="Q6" i="59"/>
  <c r="I7" i="56"/>
  <c r="O9" i="62"/>
  <c r="O6" i="62" a="1"/>
  <c r="O6" i="62" s="1"/>
  <c r="O12" i="65"/>
  <c r="O10" i="62"/>
  <c r="O10" i="65"/>
  <c r="O9" i="65"/>
  <c r="O8" i="62"/>
  <c r="O8" i="63"/>
  <c r="O7" i="62" a="1"/>
  <c r="O7" i="62" s="1"/>
  <c r="O7" i="65" a="1"/>
  <c r="O7" i="65" s="1"/>
  <c r="O6" i="65" a="1"/>
  <c r="O6" i="65" s="1"/>
  <c r="O10" i="63"/>
  <c r="O9" i="63"/>
  <c r="O7" i="61" a="1"/>
  <c r="O7" i="61" s="1"/>
  <c r="K7" i="59"/>
  <c r="L7" i="58"/>
  <c r="I7" i="58"/>
  <c r="I6" i="58"/>
  <c r="J7" i="56"/>
  <c r="L7" i="56"/>
  <c r="K7" i="56"/>
  <c r="F6" i="55"/>
  <c r="P6" i="51"/>
  <c r="U9" i="53"/>
  <c r="U8" i="53"/>
  <c r="U7" i="53"/>
  <c r="U6" i="53"/>
  <c r="G10" i="53" a="1"/>
  <c r="G10" i="53" s="1"/>
  <c r="G11" i="53" s="1"/>
  <c r="F10" i="53" a="1"/>
  <c r="F10" i="53" s="1"/>
  <c r="F11" i="53" s="1"/>
  <c r="J6" i="53"/>
  <c r="F10" i="42" a="1"/>
  <c r="F10" i="42" s="1"/>
  <c r="F11" i="42" s="1"/>
  <c r="G9" i="53"/>
  <c r="F9" i="53"/>
  <c r="G8" i="53"/>
  <c r="F8" i="53"/>
  <c r="G7" i="53"/>
  <c r="F7" i="53"/>
  <c r="E7" i="52"/>
  <c r="E8" i="52"/>
  <c r="E9" i="52"/>
  <c r="E10" i="52"/>
  <c r="E11" i="52"/>
  <c r="E12" i="52"/>
  <c r="E13" i="52"/>
  <c r="E14" i="52"/>
  <c r="E15" i="52"/>
  <c r="E16" i="52"/>
  <c r="E17" i="52"/>
  <c r="E18" i="52"/>
  <c r="E19" i="52"/>
  <c r="E20" i="52"/>
  <c r="E21" i="52"/>
  <c r="E22" i="52"/>
  <c r="E23" i="52"/>
  <c r="E24" i="52"/>
  <c r="E25" i="52"/>
  <c r="E26" i="52"/>
  <c r="E27" i="52"/>
  <c r="E28" i="52"/>
  <c r="E29" i="52"/>
  <c r="E30" i="52"/>
  <c r="E31" i="52"/>
  <c r="E32" i="52"/>
  <c r="E33" i="52"/>
  <c r="E34" i="52"/>
  <c r="E35" i="52"/>
  <c r="E36" i="52"/>
  <c r="E37" i="52"/>
  <c r="E38" i="52"/>
  <c r="E39" i="52"/>
  <c r="E40" i="52"/>
  <c r="E41" i="52"/>
  <c r="E42" i="52"/>
  <c r="E43" i="52"/>
  <c r="E44" i="52"/>
  <c r="E45" i="52"/>
  <c r="E46" i="52"/>
  <c r="E47" i="52"/>
  <c r="E48" i="52"/>
  <c r="E49" i="52"/>
  <c r="E50" i="52"/>
  <c r="E51" i="52"/>
  <c r="E52" i="52"/>
  <c r="E53" i="52"/>
  <c r="E54" i="52"/>
  <c r="E55" i="52"/>
  <c r="E56" i="52"/>
  <c r="E57" i="52"/>
  <c r="E58" i="52"/>
  <c r="E59" i="52"/>
  <c r="E60" i="52"/>
  <c r="E61" i="52"/>
  <c r="E62" i="52"/>
  <c r="E63" i="52"/>
  <c r="E64" i="52"/>
  <c r="E65" i="52"/>
  <c r="E66" i="52"/>
  <c r="E67" i="52"/>
  <c r="E68" i="52"/>
  <c r="E69" i="52"/>
  <c r="E70" i="52"/>
  <c r="E71" i="52"/>
  <c r="E72" i="52"/>
  <c r="E73" i="52"/>
  <c r="E74" i="52"/>
  <c r="E75" i="52"/>
  <c r="E76" i="52"/>
  <c r="E77" i="52"/>
  <c r="E78" i="52"/>
  <c r="E79" i="52"/>
  <c r="E80" i="52"/>
  <c r="E81" i="52"/>
  <c r="E82" i="52"/>
  <c r="E83" i="52"/>
  <c r="E84" i="52"/>
  <c r="E85" i="52"/>
  <c r="E86" i="52"/>
  <c r="E87" i="52"/>
  <c r="E88" i="52"/>
  <c r="E89" i="52"/>
  <c r="E90" i="52"/>
  <c r="E91" i="52"/>
  <c r="E92" i="52"/>
  <c r="E93" i="52"/>
  <c r="E94" i="52"/>
  <c r="E95" i="52"/>
  <c r="E96" i="52"/>
  <c r="E97" i="52"/>
  <c r="E98" i="52"/>
  <c r="E99" i="52"/>
  <c r="E100" i="52"/>
  <c r="E6" i="52"/>
  <c r="P7" i="52" s="1"/>
  <c r="P7" i="51"/>
  <c r="P8" i="51" s="1"/>
  <c r="E12" i="51"/>
  <c r="E11" i="51"/>
  <c r="E8" i="51"/>
  <c r="E7" i="51"/>
  <c r="E6" i="51"/>
  <c r="Q8" i="49"/>
  <c r="Q7" i="49"/>
  <c r="Q6" i="49"/>
  <c r="N8" i="49" a="1"/>
  <c r="N8" i="49" s="1"/>
  <c r="N7" i="49"/>
  <c r="N6" i="49"/>
  <c r="P8" i="48"/>
  <c r="P7" i="48"/>
  <c r="P8" i="47"/>
  <c r="P7" i="69"/>
  <c r="P6" i="48"/>
  <c r="P6" i="69"/>
  <c r="M8" i="48"/>
  <c r="M7" i="48"/>
  <c r="M6" i="48"/>
  <c r="P7" i="46"/>
  <c r="P6" i="46"/>
  <c r="M8" i="46"/>
  <c r="M7" i="46"/>
  <c r="M6" i="46"/>
  <c r="M10" i="43"/>
  <c r="M7" i="43"/>
  <c r="M8" i="43" s="1"/>
  <c r="J6" i="43"/>
  <c r="G13" i="43"/>
  <c r="F13" i="43"/>
  <c r="F12" i="43"/>
  <c r="G12" i="43"/>
  <c r="G9" i="43"/>
  <c r="F9" i="43"/>
  <c r="G8" i="43"/>
  <c r="F8" i="43"/>
  <c r="G7" i="43"/>
  <c r="F7" i="43"/>
  <c r="J6" i="42"/>
  <c r="M8" i="42"/>
  <c r="M7" i="42"/>
  <c r="G11" i="42"/>
  <c r="G10" i="42" a="1"/>
  <c r="G10" i="42" s="1"/>
  <c r="G9" i="42"/>
  <c r="F9" i="42"/>
  <c r="G8" i="42"/>
  <c r="F8" i="42"/>
  <c r="G7" i="42"/>
  <c r="F7" i="42"/>
  <c r="N9" i="41"/>
  <c r="Q7" i="41"/>
  <c r="Q6" i="41"/>
  <c r="N12" i="41"/>
  <c r="N11" i="41"/>
  <c r="N10" i="41"/>
  <c r="N8" i="41"/>
  <c r="N7" i="41"/>
  <c r="K6" i="41"/>
  <c r="H11" i="41"/>
  <c r="G11" i="41"/>
  <c r="H10" i="41"/>
  <c r="G10" i="41"/>
  <c r="H9" i="41"/>
  <c r="G9" i="41"/>
  <c r="H8" i="41"/>
  <c r="G8" i="41"/>
  <c r="H7" i="41"/>
  <c r="G7" i="41"/>
  <c r="N7" i="40"/>
  <c r="N6" i="40"/>
  <c r="K11" i="40"/>
  <c r="K10" i="40"/>
  <c r="K9" i="40"/>
  <c r="K8" i="40"/>
  <c r="K7" i="40"/>
  <c r="H8" i="40"/>
  <c r="H7" i="40"/>
  <c r="H6" i="40"/>
  <c r="E7" i="40"/>
  <c r="E8" i="40"/>
  <c r="E9" i="40"/>
  <c r="E10" i="40"/>
  <c r="E11" i="40"/>
  <c r="E12" i="40"/>
  <c r="E13" i="40"/>
  <c r="E14" i="40"/>
  <c r="E15" i="40"/>
  <c r="E16" i="40"/>
  <c r="E17" i="40"/>
  <c r="E18" i="40"/>
  <c r="E19" i="40"/>
  <c r="E20" i="40"/>
  <c r="E21" i="40"/>
  <c r="E22" i="40"/>
  <c r="E23" i="40"/>
  <c r="E24" i="40"/>
  <c r="E25" i="40"/>
  <c r="E26" i="40"/>
  <c r="E27" i="40"/>
  <c r="E28" i="40"/>
  <c r="E29" i="40"/>
  <c r="E30" i="40"/>
  <c r="E31" i="40"/>
  <c r="E32" i="40"/>
  <c r="E33" i="40"/>
  <c r="E34" i="40"/>
  <c r="E35" i="40"/>
  <c r="E36" i="40"/>
  <c r="E37" i="40"/>
  <c r="E38" i="40"/>
  <c r="E39" i="40"/>
  <c r="E40" i="40"/>
  <c r="E41" i="40"/>
  <c r="E42" i="40"/>
  <c r="E43" i="40"/>
  <c r="E44" i="40"/>
  <c r="E45" i="40"/>
  <c r="E46" i="40"/>
  <c r="E47" i="40"/>
  <c r="E48" i="40"/>
  <c r="E49" i="40"/>
  <c r="E50" i="40"/>
  <c r="E51" i="40"/>
  <c r="E52" i="40"/>
  <c r="E53" i="40"/>
  <c r="E54" i="40"/>
  <c r="E55" i="40"/>
  <c r="E56" i="40"/>
  <c r="E57" i="40"/>
  <c r="E58" i="40"/>
  <c r="E59" i="40"/>
  <c r="E60" i="40"/>
  <c r="E61" i="40"/>
  <c r="E62" i="40"/>
  <c r="E63" i="40"/>
  <c r="E64" i="40"/>
  <c r="E65" i="40"/>
  <c r="E66" i="40"/>
  <c r="E67" i="40"/>
  <c r="E68" i="40"/>
  <c r="E69" i="40"/>
  <c r="E70" i="40"/>
  <c r="E71" i="40"/>
  <c r="E72" i="40"/>
  <c r="E73" i="40"/>
  <c r="E74" i="40"/>
  <c r="E75" i="40"/>
  <c r="E76" i="40"/>
  <c r="E77" i="40"/>
  <c r="E78" i="40"/>
  <c r="E79" i="40"/>
  <c r="E80" i="40"/>
  <c r="E81" i="40"/>
  <c r="E82" i="40"/>
  <c r="E83" i="40"/>
  <c r="E84" i="40"/>
  <c r="E85" i="40"/>
  <c r="E86" i="40"/>
  <c r="E87" i="40"/>
  <c r="E88" i="40"/>
  <c r="E89" i="40"/>
  <c r="E90" i="40"/>
  <c r="E91" i="40"/>
  <c r="E92" i="40"/>
  <c r="E93" i="40"/>
  <c r="E94" i="40"/>
  <c r="E95" i="40"/>
  <c r="E96" i="40"/>
  <c r="E97" i="40"/>
  <c r="E98" i="40"/>
  <c r="E99" i="40"/>
  <c r="E100" i="40"/>
  <c r="E6" i="40"/>
  <c r="N7" i="39"/>
  <c r="N6" i="39"/>
  <c r="K11" i="39"/>
  <c r="K10" i="39"/>
  <c r="K9" i="39"/>
  <c r="K7" i="39"/>
  <c r="K8" i="39" s="1"/>
  <c r="E7" i="39"/>
  <c r="H7" i="39" s="1"/>
  <c r="E8" i="39"/>
  <c r="E9" i="39"/>
  <c r="E10" i="39"/>
  <c r="E11" i="39"/>
  <c r="E12" i="39"/>
  <c r="E13" i="39"/>
  <c r="E14" i="39"/>
  <c r="E15" i="39"/>
  <c r="E16" i="39"/>
  <c r="E17" i="39"/>
  <c r="E18" i="39"/>
  <c r="E19" i="39"/>
  <c r="E20" i="39"/>
  <c r="E21" i="39"/>
  <c r="E22" i="39"/>
  <c r="E23" i="39"/>
  <c r="E24" i="39"/>
  <c r="E25" i="39"/>
  <c r="E26" i="39"/>
  <c r="E27" i="39"/>
  <c r="E28" i="39"/>
  <c r="E29" i="39"/>
  <c r="E30" i="39"/>
  <c r="E31" i="39"/>
  <c r="E32" i="39"/>
  <c r="E33" i="39"/>
  <c r="E34" i="39"/>
  <c r="E35" i="39"/>
  <c r="E36" i="39"/>
  <c r="E37" i="39"/>
  <c r="E38" i="39"/>
  <c r="E39" i="39"/>
  <c r="E40" i="39"/>
  <c r="E41" i="39"/>
  <c r="E42" i="39"/>
  <c r="E43" i="39"/>
  <c r="E44" i="39"/>
  <c r="E45" i="39"/>
  <c r="E46" i="39"/>
  <c r="E47" i="39"/>
  <c r="E48" i="39"/>
  <c r="E49" i="39"/>
  <c r="E50" i="39"/>
  <c r="E51" i="39"/>
  <c r="E52" i="39"/>
  <c r="E53" i="39"/>
  <c r="E54" i="39"/>
  <c r="E55" i="39"/>
  <c r="E56" i="39"/>
  <c r="E57" i="39"/>
  <c r="E58" i="39"/>
  <c r="E59" i="39"/>
  <c r="E60" i="39"/>
  <c r="E61" i="39"/>
  <c r="E62" i="39"/>
  <c r="E63" i="39"/>
  <c r="E64" i="39"/>
  <c r="E65" i="39"/>
  <c r="E66" i="39"/>
  <c r="E67" i="39"/>
  <c r="E68" i="39"/>
  <c r="E69" i="39"/>
  <c r="E70" i="39"/>
  <c r="E71" i="39"/>
  <c r="E72" i="39"/>
  <c r="E73" i="39"/>
  <c r="E74" i="39"/>
  <c r="E75" i="39"/>
  <c r="E76" i="39"/>
  <c r="E77" i="39"/>
  <c r="E78" i="39"/>
  <c r="E79" i="39"/>
  <c r="E80" i="39"/>
  <c r="E81" i="39"/>
  <c r="E82" i="39"/>
  <c r="E83" i="39"/>
  <c r="E84" i="39"/>
  <c r="E85" i="39"/>
  <c r="E86" i="39"/>
  <c r="E87" i="39"/>
  <c r="E88" i="39"/>
  <c r="E89" i="39"/>
  <c r="E90" i="39"/>
  <c r="E91" i="39"/>
  <c r="E92" i="39"/>
  <c r="E93" i="39"/>
  <c r="E94" i="39"/>
  <c r="E95" i="39"/>
  <c r="E96" i="39"/>
  <c r="E97" i="39"/>
  <c r="E98" i="39"/>
  <c r="E99" i="39"/>
  <c r="E100" i="39"/>
  <c r="E6" i="39"/>
  <c r="K7" i="38"/>
  <c r="K6" i="38"/>
  <c r="H11" i="38"/>
  <c r="H10" i="38"/>
  <c r="H9" i="38"/>
  <c r="H8" i="38"/>
  <c r="H7" i="38"/>
  <c r="E12" i="38"/>
  <c r="E11" i="38"/>
  <c r="E8" i="38"/>
  <c r="E7" i="38"/>
  <c r="E6" i="38"/>
  <c r="K7" i="37"/>
  <c r="K6" i="37"/>
  <c r="H11" i="37"/>
  <c r="H10" i="37"/>
  <c r="H9" i="37"/>
  <c r="H8" i="37"/>
  <c r="H7" i="37"/>
  <c r="E12" i="37"/>
  <c r="E11" i="37"/>
  <c r="E8" i="37"/>
  <c r="E7" i="37"/>
  <c r="E6" i="37"/>
  <c r="H7" i="36"/>
  <c r="H8" i="36" s="1"/>
  <c r="E8" i="36"/>
  <c r="E7" i="36"/>
  <c r="E6" i="36"/>
  <c r="K7" i="35"/>
  <c r="K6" i="35"/>
  <c r="H11" i="35"/>
  <c r="H10" i="35"/>
  <c r="H9" i="35"/>
  <c r="H8" i="35"/>
  <c r="H7" i="35"/>
  <c r="E8" i="35"/>
  <c r="E7" i="35"/>
  <c r="E6" i="35"/>
  <c r="H7" i="34"/>
  <c r="H8" i="34" s="1"/>
  <c r="E7" i="34"/>
  <c r="E6" i="34"/>
  <c r="H8" i="33"/>
  <c r="H9" i="33"/>
  <c r="H10" i="33"/>
  <c r="H11" i="33"/>
  <c r="K7" i="33" s="1"/>
  <c r="H7" i="33"/>
  <c r="E7" i="33"/>
  <c r="E6" i="33"/>
  <c r="H8" i="32"/>
  <c r="H7" i="32"/>
  <c r="H7" i="31"/>
  <c r="H9" i="30"/>
  <c r="H8" i="30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6" i="26"/>
  <c r="H7" i="28"/>
  <c r="E8" i="29"/>
  <c r="H7" i="27"/>
  <c r="L10" i="25"/>
  <c r="M10" i="25"/>
  <c r="K10" i="25"/>
  <c r="M8" i="25"/>
  <c r="L8" i="25"/>
  <c r="M7" i="25"/>
  <c r="L7" i="25"/>
  <c r="K8" i="25"/>
  <c r="K7" i="25"/>
  <c r="H7" i="23"/>
  <c r="H7" i="25"/>
  <c r="H6" i="25"/>
  <c r="E7" i="25"/>
  <c r="E6" i="25"/>
  <c r="J10" i="23"/>
  <c r="I10" i="23"/>
  <c r="H10" i="23"/>
  <c r="I8" i="23"/>
  <c r="J8" i="23"/>
  <c r="H8" i="23"/>
  <c r="I7" i="23"/>
  <c r="J7" i="23"/>
  <c r="I7" i="22"/>
  <c r="I8" i="22" s="1"/>
  <c r="K7" i="21"/>
  <c r="K6" i="21"/>
  <c r="H7" i="21"/>
  <c r="H6" i="21"/>
  <c r="G9" i="19" a="1"/>
  <c r="G9" i="19" s="1"/>
  <c r="F9" i="19" a="1"/>
  <c r="F9" i="19" s="1"/>
  <c r="G10" i="19" a="1"/>
  <c r="G10" i="19" s="1"/>
  <c r="F10" i="19" a="1"/>
  <c r="F10" i="19" s="1"/>
  <c r="G8" i="19"/>
  <c r="F8" i="19"/>
  <c r="G7" i="19"/>
  <c r="F7" i="19"/>
  <c r="G9" i="20"/>
  <c r="F9" i="20"/>
  <c r="G8" i="20"/>
  <c r="F8" i="20"/>
  <c r="G7" i="20"/>
  <c r="F7" i="20"/>
  <c r="G8" i="18"/>
  <c r="G7" i="18"/>
  <c r="G6" i="18"/>
  <c r="D7" i="18"/>
  <c r="D8" i="18"/>
  <c r="D9" i="18"/>
  <c r="D10" i="18"/>
  <c r="D11" i="18"/>
  <c r="D12" i="18"/>
  <c r="D13" i="18"/>
  <c r="D14" i="18"/>
  <c r="D15" i="18"/>
  <c r="D16" i="18"/>
  <c r="D17" i="18"/>
  <c r="D18" i="18"/>
  <c r="D19" i="18"/>
  <c r="D20" i="18"/>
  <c r="D21" i="18"/>
  <c r="D22" i="18"/>
  <c r="D23" i="18"/>
  <c r="D24" i="18"/>
  <c r="D25" i="18"/>
  <c r="D26" i="18"/>
  <c r="D27" i="18"/>
  <c r="D28" i="18"/>
  <c r="D29" i="18"/>
  <c r="D30" i="18"/>
  <c r="D31" i="18"/>
  <c r="D32" i="18"/>
  <c r="D33" i="18"/>
  <c r="D34" i="18"/>
  <c r="D35" i="18"/>
  <c r="D36" i="18"/>
  <c r="D37" i="18"/>
  <c r="D38" i="18"/>
  <c r="D39" i="18"/>
  <c r="D40" i="18"/>
  <c r="D41" i="18"/>
  <c r="D42" i="18"/>
  <c r="D43" i="18"/>
  <c r="D44" i="18"/>
  <c r="D45" i="18"/>
  <c r="D46" i="18"/>
  <c r="D47" i="18"/>
  <c r="D48" i="18"/>
  <c r="D49" i="18"/>
  <c r="D50" i="18"/>
  <c r="D51" i="18"/>
  <c r="D52" i="18"/>
  <c r="D53" i="18"/>
  <c r="D54" i="18"/>
  <c r="D55" i="18"/>
  <c r="D56" i="18"/>
  <c r="D57" i="18"/>
  <c r="D58" i="18"/>
  <c r="D59" i="18"/>
  <c r="D60" i="18"/>
  <c r="D61" i="18"/>
  <c r="D62" i="18"/>
  <c r="D63" i="18"/>
  <c r="D64" i="18"/>
  <c r="D65" i="18"/>
  <c r="D66" i="18"/>
  <c r="D67" i="18"/>
  <c r="D68" i="18"/>
  <c r="D69" i="18"/>
  <c r="D70" i="18"/>
  <c r="D71" i="18"/>
  <c r="D72" i="18"/>
  <c r="D73" i="18"/>
  <c r="D74" i="18"/>
  <c r="D75" i="18"/>
  <c r="D76" i="18"/>
  <c r="D77" i="18"/>
  <c r="D78" i="18"/>
  <c r="D79" i="18"/>
  <c r="D80" i="18"/>
  <c r="D81" i="18"/>
  <c r="D82" i="18"/>
  <c r="D83" i="18"/>
  <c r="D84" i="18"/>
  <c r="D85" i="18"/>
  <c r="D86" i="18"/>
  <c r="D87" i="18"/>
  <c r="D88" i="18"/>
  <c r="D89" i="18"/>
  <c r="D90" i="18"/>
  <c r="D91" i="18"/>
  <c r="D92" i="18"/>
  <c r="D93" i="18"/>
  <c r="D94" i="18"/>
  <c r="D95" i="18"/>
  <c r="D96" i="18"/>
  <c r="D97" i="18"/>
  <c r="D98" i="18"/>
  <c r="D99" i="18"/>
  <c r="D100" i="18"/>
  <c r="D6" i="18"/>
  <c r="K12" i="16"/>
  <c r="J12" i="16"/>
  <c r="K7" i="16" a="1"/>
  <c r="K7" i="16" s="1"/>
  <c r="J7" i="16" a="1"/>
  <c r="J7" i="16" s="1"/>
  <c r="G7" i="16"/>
  <c r="G8" i="16"/>
  <c r="G9" i="16"/>
  <c r="G10" i="16"/>
  <c r="G12" i="16" s="1"/>
  <c r="G11" i="16"/>
  <c r="F12" i="16"/>
  <c r="F11" i="16"/>
  <c r="F10" i="16"/>
  <c r="F9" i="16"/>
  <c r="F8" i="16"/>
  <c r="F7" i="16"/>
  <c r="G9" i="15"/>
  <c r="F9" i="15"/>
  <c r="G8" i="15"/>
  <c r="F8" i="15"/>
  <c r="G7" i="15"/>
  <c r="F7" i="15"/>
  <c r="H11" i="14"/>
  <c r="G11" i="14"/>
  <c r="H10" i="14"/>
  <c r="G10" i="14"/>
  <c r="H9" i="14"/>
  <c r="G9" i="14"/>
  <c r="H8" i="14"/>
  <c r="G8" i="14"/>
  <c r="H7" i="14"/>
  <c r="G7" i="14"/>
  <c r="E8" i="13"/>
  <c r="N9" i="11" a="1"/>
  <c r="N9" i="11" s="1"/>
  <c r="M9" i="11" a="1"/>
  <c r="M9" i="11" s="1"/>
  <c r="M8" i="11" a="1"/>
  <c r="M8" i="11" s="1"/>
  <c r="N8" i="11" a="1"/>
  <c r="N8" i="11" s="1"/>
  <c r="M7" i="11" a="1"/>
  <c r="M7" i="11" s="1"/>
  <c r="J9" i="11" a="1"/>
  <c r="J9" i="11" s="1"/>
  <c r="I9" i="11" a="1"/>
  <c r="I9" i="11" s="1"/>
  <c r="J8" i="11" a="1"/>
  <c r="J8" i="11" s="1"/>
  <c r="I8" i="11" a="1"/>
  <c r="I8" i="11" s="1"/>
  <c r="J7" i="11"/>
  <c r="I7" i="11"/>
  <c r="F8" i="11"/>
  <c r="F7" i="11"/>
  <c r="F6" i="11"/>
  <c r="J6" i="5" a="1"/>
  <c r="J6" i="5" s="1"/>
  <c r="L6" i="4" a="1"/>
  <c r="L6" i="4" s="1"/>
  <c r="M6" i="4" s="1" a="1"/>
  <c r="M6" i="4" s="1"/>
  <c r="N6" i="4" s="1" a="1"/>
  <c r="N6" i="4" s="1"/>
  <c r="I7" i="4"/>
  <c r="I6" i="4"/>
  <c r="J6" i="4" s="1"/>
  <c r="E6" i="13"/>
  <c r="E7" i="13"/>
  <c r="O12" i="62" l="1"/>
  <c r="P8" i="52"/>
  <c r="P6" i="52"/>
  <c r="M11" i="42"/>
  <c r="M9" i="42"/>
  <c r="M10" i="42" s="1"/>
  <c r="M12" i="42" s="1"/>
  <c r="M9" i="43"/>
  <c r="M11" i="43" s="1"/>
  <c r="H6" i="39"/>
  <c r="H8" i="39"/>
  <c r="K7" i="36"/>
  <c r="K6" i="36"/>
  <c r="K7" i="34"/>
  <c r="K6" i="34"/>
  <c r="K6" i="33"/>
  <c r="J7" i="4"/>
  <c r="L10" i="66"/>
  <c r="L8" i="66"/>
  <c r="L7" i="66" a="1"/>
  <c r="L7" i="66" s="1"/>
  <c r="I7" i="66"/>
  <c r="L6" i="66" a="1"/>
  <c r="L6" i="66" s="1"/>
  <c r="L9" i="66" s="1"/>
  <c r="I6" i="66"/>
  <c r="F6" i="66"/>
  <c r="O13" i="62" l="1"/>
  <c r="O14" i="62" s="1"/>
  <c r="S6" i="52"/>
  <c r="S7" i="52" s="1"/>
  <c r="S8" i="52" s="1"/>
  <c r="P7" i="42"/>
  <c r="P6" i="42"/>
  <c r="P6" i="43"/>
  <c r="P7" i="43"/>
  <c r="L12" i="66"/>
  <c r="L13" i="66" s="1"/>
  <c r="L14" i="66" s="1"/>
  <c r="F6" i="63" l="1"/>
  <c r="G6" i="59"/>
  <c r="G7" i="59"/>
  <c r="G8" i="59"/>
  <c r="G9" i="59"/>
  <c r="G10" i="59"/>
  <c r="G11" i="59"/>
  <c r="G12" i="59"/>
  <c r="G13" i="59"/>
  <c r="G14" i="59"/>
  <c r="G15" i="59"/>
  <c r="G16" i="59"/>
  <c r="G17" i="59"/>
  <c r="G18" i="59"/>
  <c r="G19" i="59"/>
  <c r="G20" i="59"/>
  <c r="G21" i="59"/>
  <c r="G22" i="59"/>
  <c r="G23" i="59"/>
  <c r="G24" i="59"/>
  <c r="G25" i="59"/>
  <c r="G26" i="59"/>
  <c r="G27" i="59"/>
  <c r="G28" i="59"/>
  <c r="G29" i="59"/>
  <c r="G30" i="59"/>
  <c r="G31" i="59"/>
  <c r="G32" i="59"/>
  <c r="G33" i="59"/>
  <c r="G34" i="59"/>
  <c r="G35" i="59"/>
  <c r="G36" i="59"/>
  <c r="G37" i="59"/>
  <c r="G38" i="59"/>
  <c r="G39" i="59"/>
  <c r="G40" i="59"/>
  <c r="G41" i="59"/>
  <c r="G42" i="59"/>
  <c r="G43" i="59"/>
  <c r="G44" i="59"/>
  <c r="G45" i="59"/>
  <c r="G46" i="59"/>
  <c r="G47" i="59"/>
  <c r="G48" i="59"/>
  <c r="G49" i="59"/>
  <c r="G50" i="59"/>
  <c r="G51" i="59"/>
  <c r="G52" i="59"/>
  <c r="G53" i="59"/>
  <c r="G54" i="59"/>
  <c r="G55" i="59"/>
  <c r="G56" i="59"/>
  <c r="G57" i="59"/>
  <c r="G58" i="59"/>
  <c r="G59" i="59"/>
  <c r="G60" i="59"/>
  <c r="G61" i="59"/>
  <c r="G62" i="59"/>
  <c r="G63" i="59"/>
  <c r="G64" i="59"/>
  <c r="G65" i="59"/>
  <c r="G66" i="59"/>
  <c r="G67" i="59"/>
  <c r="G68" i="59"/>
  <c r="G69" i="59"/>
  <c r="G70" i="59"/>
  <c r="G71" i="59"/>
  <c r="G72" i="59"/>
  <c r="G73" i="59"/>
  <c r="G74" i="59"/>
  <c r="G75" i="59"/>
  <c r="G76" i="59"/>
  <c r="G77" i="59"/>
  <c r="G78" i="59"/>
  <c r="G79" i="59"/>
  <c r="G80" i="59"/>
  <c r="G81" i="59"/>
  <c r="G82" i="59"/>
  <c r="G83" i="59"/>
  <c r="G84" i="59"/>
  <c r="G85" i="59"/>
  <c r="G86" i="59"/>
  <c r="G87" i="59"/>
  <c r="G88" i="59"/>
  <c r="G89" i="59"/>
  <c r="G90" i="59"/>
  <c r="G91" i="59"/>
  <c r="G92" i="59"/>
  <c r="G93" i="59"/>
  <c r="G94" i="59"/>
  <c r="G95" i="59"/>
  <c r="G96" i="59"/>
  <c r="G97" i="59"/>
  <c r="G98" i="59"/>
  <c r="G99" i="59"/>
  <c r="G100" i="59"/>
  <c r="J7" i="59" l="1"/>
  <c r="P6" i="47"/>
  <c r="P7" i="47" s="1"/>
  <c r="M6" i="47"/>
  <c r="M7" i="47"/>
  <c r="M8" i="47"/>
  <c r="M8" i="69"/>
  <c r="M7" i="69"/>
  <c r="M6" i="69"/>
  <c r="P8" i="69" l="1"/>
  <c r="E6" i="26" l="1"/>
  <c r="O10" i="64" l="1"/>
  <c r="O8" i="65"/>
  <c r="L7" i="65"/>
  <c r="I7" i="65"/>
  <c r="O13" i="65"/>
  <c r="O14" i="65" s="1"/>
  <c r="I6" i="65"/>
  <c r="F6" i="65"/>
  <c r="O8" i="64"/>
  <c r="O7" i="64" a="1"/>
  <c r="O7" i="64" s="1"/>
  <c r="L7" i="64"/>
  <c r="I7" i="64"/>
  <c r="O6" i="64" a="1"/>
  <c r="O6" i="64" s="1"/>
  <c r="O9" i="64" s="1"/>
  <c r="I6" i="64"/>
  <c r="F6" i="64"/>
  <c r="O7" i="63" a="1"/>
  <c r="O7" i="63" s="1"/>
  <c r="L7" i="63"/>
  <c r="I7" i="63"/>
  <c r="O6" i="63" a="1"/>
  <c r="O6" i="63" s="1"/>
  <c r="I6" i="63"/>
  <c r="L7" i="61"/>
  <c r="I7" i="61"/>
  <c r="I6" i="61"/>
  <c r="F6" i="61"/>
  <c r="F6" i="58"/>
  <c r="F6" i="57"/>
  <c r="L7" i="62" l="1"/>
  <c r="I7" i="62"/>
  <c r="F6" i="62"/>
  <c r="I6" i="62"/>
  <c r="E7" i="32" l="1"/>
  <c r="E6" i="32"/>
  <c r="E7" i="31"/>
  <c r="E6" i="31"/>
  <c r="E7" i="30"/>
  <c r="E6" i="30"/>
  <c r="E7" i="27"/>
  <c r="E6" i="27"/>
  <c r="E7" i="28"/>
  <c r="E6" i="28"/>
  <c r="E7" i="26"/>
  <c r="E6" i="23"/>
  <c r="E7" i="23"/>
  <c r="F6" i="22"/>
  <c r="F7" i="22"/>
  <c r="I7" i="5" l="1"/>
  <c r="I8" i="5"/>
  <c r="I9" i="5"/>
  <c r="I10" i="5"/>
  <c r="I11" i="5"/>
  <c r="I12" i="5"/>
  <c r="I13" i="5"/>
  <c r="I14" i="5"/>
  <c r="I15" i="5"/>
  <c r="I16" i="5"/>
  <c r="I17" i="5"/>
  <c r="I18" i="5"/>
  <c r="I19" i="5"/>
  <c r="I6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<sst xmlns="http://schemas.openxmlformats.org/spreadsheetml/2006/main" count="2423" uniqueCount="377">
  <si>
    <t>DESCRIPTIVE STATISTICS</t>
  </si>
  <si>
    <t>Topic</t>
  </si>
  <si>
    <t>Categorical Frequency Distributions</t>
  </si>
  <si>
    <t>Numerical Frequency Distributions</t>
  </si>
  <si>
    <t>Histograms</t>
  </si>
  <si>
    <t>Mean, Median, Mode</t>
  </si>
  <si>
    <t>Skew</t>
  </si>
  <si>
    <t>Min, Max, and Range</t>
  </si>
  <si>
    <t>Quartiles &amp; Interquartile Range</t>
  </si>
  <si>
    <t>Box &amp; Whisker Plots</t>
  </si>
  <si>
    <t>Variance &amp; Standard Deviation</t>
  </si>
  <si>
    <t>LINK</t>
  </si>
  <si>
    <t>Status</t>
  </si>
  <si>
    <t>Placed</t>
  </si>
  <si>
    <t>Not Placed</t>
  </si>
  <si>
    <t>Frequency</t>
  </si>
  <si>
    <t>Relative Frequency</t>
  </si>
  <si>
    <t>Grand Total</t>
  </si>
  <si>
    <t>Graduates:</t>
  </si>
  <si>
    <t>PROBABILITY DISTRIBUTIONS</t>
  </si>
  <si>
    <t>Student ID</t>
  </si>
  <si>
    <t>Work Experience</t>
  </si>
  <si>
    <t>Employability (Before)</t>
  </si>
  <si>
    <t>Employability (After)</t>
  </si>
  <si>
    <t>Business</t>
  </si>
  <si>
    <t>No</t>
  </si>
  <si>
    <t>Other</t>
  </si>
  <si>
    <t>Yes</t>
  </si>
  <si>
    <t>ASSIGNMENT: Frequency Distributions</t>
  </si>
  <si>
    <t>Link</t>
  </si>
  <si>
    <t>ASSIGNMENT: Central Tendency</t>
  </si>
  <si>
    <t>ASSIGNMENT: Variability</t>
  </si>
  <si>
    <t>Max:</t>
  </si>
  <si>
    <t>Min:</t>
  </si>
  <si>
    <t>Upper Limit</t>
  </si>
  <si>
    <t>Annual Salary</t>
  </si>
  <si>
    <t>Undergrad Degree</t>
  </si>
  <si>
    <t>Annual Salary (Thousands of USD)</t>
  </si>
  <si>
    <t>60-65</t>
  </si>
  <si>
    <t>65-70</t>
  </si>
  <si>
    <t>70-75</t>
  </si>
  <si>
    <t>75-80</t>
  </si>
  <si>
    <t>80-85</t>
  </si>
  <si>
    <t>85-90</t>
  </si>
  <si>
    <t>90-95</t>
  </si>
  <si>
    <t>95-100</t>
  </si>
  <si>
    <t>Mean:</t>
  </si>
  <si>
    <t>Median:</t>
  </si>
  <si>
    <t>Mode:</t>
  </si>
  <si>
    <t>Skew:</t>
  </si>
  <si>
    <t>Mode(s):</t>
  </si>
  <si>
    <t>SALARY STATISTICS</t>
  </si>
  <si>
    <t>Pivot Table</t>
  </si>
  <si>
    <t>Dynamic Excel Formulas</t>
  </si>
  <si>
    <t>Legacy Excel Formulas</t>
  </si>
  <si>
    <t>Column Chart</t>
  </si>
  <si>
    <t>Histogram</t>
  </si>
  <si>
    <t>SALARY STATISTICS BY WORK EXPERIENCE</t>
  </si>
  <si>
    <t>Business Undergrads</t>
  </si>
  <si>
    <t>Other Undergrads</t>
  </si>
  <si>
    <t>MBA GRADE STATISTICS BY UNDERGRAD</t>
  </si>
  <si>
    <t>Before</t>
  </si>
  <si>
    <t>After</t>
  </si>
  <si>
    <t>Range:</t>
  </si>
  <si>
    <t>EMPLOYABILITY SCORES</t>
  </si>
  <si>
    <t>Q1:</t>
  </si>
  <si>
    <t>Q3:</t>
  </si>
  <si>
    <t>IQR:</t>
  </si>
  <si>
    <t>Variance:</t>
  </si>
  <si>
    <t>Standard Deviation:</t>
  </si>
  <si>
    <t>Std Dev:</t>
  </si>
  <si>
    <t>Sample Size:</t>
  </si>
  <si>
    <t>Engineering</t>
  </si>
  <si>
    <t>Computer Science</t>
  </si>
  <si>
    <t>Finance</t>
  </si>
  <si>
    <t>Art</t>
  </si>
  <si>
    <t>Undergrad Grade</t>
  </si>
  <si>
    <t>MBA Grade</t>
  </si>
  <si>
    <t>Coefficient of Variation:</t>
  </si>
  <si>
    <t>Employability</t>
  </si>
  <si>
    <t>VARIABILITY COMPARISON</t>
  </si>
  <si>
    <t>Coefficient of Variation</t>
  </si>
  <si>
    <t>Z-Scores</t>
  </si>
  <si>
    <t>Empirical Rule</t>
  </si>
  <si>
    <t>Normal Distribution</t>
  </si>
  <si>
    <t>MEAN = MEDIAN (?)</t>
  </si>
  <si>
    <t>NORMAL DISTRIBUTION</t>
  </si>
  <si>
    <t>Z-SCORE CALCULATOR</t>
  </si>
  <si>
    <t>Student ID:</t>
  </si>
  <si>
    <t>Grade:</t>
  </si>
  <si>
    <t>Z-Score:</t>
  </si>
  <si>
    <t>Std Dev from the Mean:</t>
  </si>
  <si>
    <t>Lower:</t>
  </si>
  <si>
    <t>Upper:</t>
  </si>
  <si>
    <t>Empirical Rule:</t>
  </si>
  <si>
    <t>Sample:</t>
  </si>
  <si>
    <t>EMPIRICAL RULE</t>
  </si>
  <si>
    <t>ASSIGNMENT: Normal Distributions</t>
  </si>
  <si>
    <t>Plotting the Normal Curve</t>
  </si>
  <si>
    <t>Grade</t>
  </si>
  <si>
    <t>Probability Density</t>
  </si>
  <si>
    <t>ASSIGNMENT: Calculating Probabilities</t>
  </si>
  <si>
    <t>Calculating Probabilities with NORM.DIST</t>
  </si>
  <si>
    <t>X:</t>
  </si>
  <si>
    <t>P(MBA Grade&gt;=90):</t>
  </si>
  <si>
    <t>Cumulative Probability</t>
  </si>
  <si>
    <t>Calculating Probabilities with NORM.S.DIST</t>
  </si>
  <si>
    <t>Z lower:</t>
  </si>
  <si>
    <t>Z upper:</t>
  </si>
  <si>
    <t>Estimating Values with NORM.INV</t>
  </si>
  <si>
    <t>Estimating Z-Scores with NORM.S.INV</t>
  </si>
  <si>
    <t>Lower Probability:</t>
  </si>
  <si>
    <t>Upper Probability:</t>
  </si>
  <si>
    <t>MBA Grade (Upper):</t>
  </si>
  <si>
    <t>MBA Grade (Lower):</t>
  </si>
  <si>
    <t>Probability:</t>
  </si>
  <si>
    <t>MBA Grade:</t>
  </si>
  <si>
    <t>ASSIGNMENT: Estimating Values</t>
  </si>
  <si>
    <t>What are the annual salaries of our placed graduates?</t>
  </si>
  <si>
    <t>What were the final grade averages for our MBA graduates?</t>
  </si>
  <si>
    <t>What is the average salary for our current graduates? Does it vary by work experience?</t>
  </si>
  <si>
    <t>Are the salaries for our graduates centered around the mean?</t>
  </si>
  <si>
    <t>Did Business undergrads achieve higher MBA grades than the rest?</t>
  </si>
  <si>
    <t>How does the total spread of the graduates' employability scores compare before and after the MBA program?</t>
  </si>
  <si>
    <t>Where did most graduates score in their employability tests before and after the MBA program?</t>
  </si>
  <si>
    <t>What varies more on average for our graduates, final grade averages or employability scores?</t>
  </si>
  <si>
    <t>Are MBA grades more dispersed for Business undergrads than the rest?</t>
  </si>
  <si>
    <t>What was the final grade distribution for our graduates? Does it follow the bell shape?</t>
  </si>
  <si>
    <t>Most students get grades in which intervals?</t>
  </si>
  <si>
    <t>Do our graduates' annual salaries follow a normal distribution?</t>
  </si>
  <si>
    <t xml:space="preserve"> </t>
  </si>
  <si>
    <t>What is the probability of a graduate getting a final grade of 70 or lower?</t>
  </si>
  <si>
    <t>P(-1&lt;=Z&lt;=1):</t>
  </si>
  <si>
    <t>What is the probability of a graduate getting a final grade of 90 or higher?</t>
  </si>
  <si>
    <t>What does the normal distribution for the MBA grades look like?</t>
  </si>
  <si>
    <t>The middle 50% of graduates will get grades in what range?</t>
  </si>
  <si>
    <t>How many standard deviations away from the average MBA grade are the bottom 20% of graduates?</t>
  </si>
  <si>
    <t>What grade do graduates need to score in the top 10% of the class?</t>
  </si>
  <si>
    <t>CONFIDENCE INTERVALS</t>
  </si>
  <si>
    <t>SAMPLE DATA</t>
  </si>
  <si>
    <t>POPULATION DATA</t>
  </si>
  <si>
    <t>MARGIN OF ERROR</t>
  </si>
  <si>
    <t>Confidence Level:</t>
  </si>
  <si>
    <t>Alpha:</t>
  </si>
  <si>
    <t>Alpha/2:</t>
  </si>
  <si>
    <t>What is the mean employability score we can expect from our future graduates, with 90% confidence?</t>
  </si>
  <si>
    <t>Standard Error:</t>
  </si>
  <si>
    <t>CONFIDENCE INTERVAL</t>
  </si>
  <si>
    <t>Lower Limit:</t>
  </si>
  <si>
    <t>Upper Limit:</t>
  </si>
  <si>
    <t>Margin of Error:</t>
  </si>
  <si>
    <t>What is the mean annual salary we can expect from our future graduates?</t>
  </si>
  <si>
    <t>Critical Value (Z):</t>
  </si>
  <si>
    <t>Margin of Error &amp; Confidence Intervals</t>
  </si>
  <si>
    <t>ASSIGNMENT: Confidence Intervals (T Distribution)</t>
  </si>
  <si>
    <t>Confidence Intervals with the T Distribution</t>
  </si>
  <si>
    <t>Critical Value (T):</t>
  </si>
  <si>
    <t>Confidence Intervals for Proportions</t>
  </si>
  <si>
    <t>p:</t>
  </si>
  <si>
    <t>1-p:</t>
  </si>
  <si>
    <t>What percentage of students can we expect to have previous work experience?</t>
  </si>
  <si>
    <t>Confidence Interval for Proportions</t>
  </si>
  <si>
    <t>What percentage of graduates can we expect to land a job by 2 months of graduating?</t>
  </si>
  <si>
    <t>CLT TESTS</t>
  </si>
  <si>
    <t>Is p*n&gt;5?</t>
  </si>
  <si>
    <t>Is (1-p)*n&gt;5?:</t>
  </si>
  <si>
    <t>Dependent Samples</t>
  </si>
  <si>
    <t>ASSIGNMENT: Confidence Intervals (Dependent Samples)</t>
  </si>
  <si>
    <t>Independent Samples</t>
  </si>
  <si>
    <t>ASSIGNMENT: Confidence Intervals (Independent Samples)</t>
  </si>
  <si>
    <t>How much will student MBA Grades change on average compared to their Undergrad Grades?</t>
  </si>
  <si>
    <t>Confidence Interval for Dependent Samples</t>
  </si>
  <si>
    <t>Difference</t>
  </si>
  <si>
    <t>How much will Employability scores change on average after students graduate?</t>
  </si>
  <si>
    <t>Do Business undergrads achieve higher MBA grades on average than the rest?</t>
  </si>
  <si>
    <t>Confidence Intervals for Independent Samples</t>
  </si>
  <si>
    <t>Sample Size (n):</t>
  </si>
  <si>
    <t>Mean (x̄):</t>
  </si>
  <si>
    <r>
      <t>Variance (s</t>
    </r>
    <r>
      <rPr>
        <i/>
        <vertAlign val="superscript"/>
        <sz val="11"/>
        <color theme="1"/>
        <rFont val="Calibri"/>
        <family val="2"/>
        <scheme val="minor"/>
      </rPr>
      <t>2</t>
    </r>
    <r>
      <rPr>
        <i/>
        <sz val="11"/>
        <color theme="1"/>
        <rFont val="Calibri"/>
        <family val="2"/>
        <scheme val="minor"/>
      </rPr>
      <t>):</t>
    </r>
  </si>
  <si>
    <t>POINT ESTIMATE</t>
  </si>
  <si>
    <r>
      <t>x̄</t>
    </r>
    <r>
      <rPr>
        <i/>
        <vertAlign val="subscript"/>
        <sz val="11"/>
        <color theme="1"/>
        <rFont val="Calibri"/>
        <family val="2"/>
        <scheme val="minor"/>
      </rPr>
      <t>1</t>
    </r>
    <r>
      <rPr>
        <i/>
        <sz val="11"/>
        <color theme="1"/>
        <rFont val="Calibri"/>
        <family val="2"/>
        <scheme val="minor"/>
      </rPr>
      <t>-x̄</t>
    </r>
    <r>
      <rPr>
        <i/>
        <vertAlign val="subscript"/>
        <sz val="11"/>
        <color theme="1"/>
        <rFont val="Calibri"/>
        <family val="2"/>
        <scheme val="minor"/>
      </rPr>
      <t>2</t>
    </r>
    <r>
      <rPr>
        <i/>
        <sz val="11"/>
        <color theme="1"/>
        <rFont val="Calibri"/>
        <family val="2"/>
        <scheme val="minor"/>
      </rPr>
      <t>:</t>
    </r>
  </si>
  <si>
    <t>Degrees of Freedom:</t>
  </si>
  <si>
    <t>What's the difference in employability scores between graduates with and without jobs?</t>
  </si>
  <si>
    <r>
      <t>s</t>
    </r>
    <r>
      <rPr>
        <i/>
        <vertAlign val="superscript"/>
        <sz val="11"/>
        <color theme="1"/>
        <rFont val="Calibri"/>
        <family val="2"/>
        <scheme val="minor"/>
      </rPr>
      <t>2</t>
    </r>
    <r>
      <rPr>
        <i/>
        <sz val="11"/>
        <color theme="1"/>
        <rFont val="Calibri"/>
        <family val="2"/>
        <scheme val="minor"/>
      </rPr>
      <t>/n:</t>
    </r>
  </si>
  <si>
    <t>n-1:</t>
  </si>
  <si>
    <t>Difference Between Population Proportions</t>
  </si>
  <si>
    <t>Confidence Intervals for Difference in Proportions</t>
  </si>
  <si>
    <t>Are graduates with previous work experience placed at a higher rate?</t>
  </si>
  <si>
    <t>p(Placed):</t>
  </si>
  <si>
    <t>HYPOTHESIS TESTS</t>
  </si>
  <si>
    <t>ASSIGNMENT: Confidence Intervals (Proportions)</t>
  </si>
  <si>
    <t>Null &amp; Alternative Hypothesis</t>
  </si>
  <si>
    <t>Significance Level</t>
  </si>
  <si>
    <t>Test Statistic</t>
  </si>
  <si>
    <t>P-Value</t>
  </si>
  <si>
    <t>Ho:</t>
  </si>
  <si>
    <t>Ha:</t>
  </si>
  <si>
    <t>μ</t>
  </si>
  <si>
    <t>=</t>
  </si>
  <si>
    <t>HYPOTHESES</t>
  </si>
  <si>
    <t>≠</t>
  </si>
  <si>
    <t>SIGNIFICANCE LEVEL</t>
  </si>
  <si>
    <t>Test Statistic (t):</t>
  </si>
  <si>
    <t>CONCLUSION</t>
  </si>
  <si>
    <t>HYPOTHESIS TEST</t>
  </si>
  <si>
    <t>We're currently stating that our graduates will achieve average employability scores of 300, is that true based on our first graduating class? (I'd be willing to be wrong 1 in 10 times)</t>
  </si>
  <si>
    <t>Two Tailed Hypothesis Test</t>
  </si>
  <si>
    <t>P-Value:</t>
  </si>
  <si>
    <t>One Tail Hypothesis Tests</t>
  </si>
  <si>
    <t>≤</t>
  </si>
  <si>
    <t>&gt;</t>
  </si>
  <si>
    <t>One Tail Hypothesis Test</t>
  </si>
  <si>
    <t>Test Statistic (Z):</t>
  </si>
  <si>
    <t>p</t>
  </si>
  <si>
    <t>Can we be 95% sure that over half of our placed graduates earn six digits?</t>
  </si>
  <si>
    <t>Hypothesis Tests for Dependent Samples</t>
  </si>
  <si>
    <r>
      <t>μ</t>
    </r>
    <r>
      <rPr>
        <vertAlign val="subscript"/>
        <sz val="11"/>
        <color theme="1"/>
        <rFont val="Calibri"/>
        <family val="2"/>
      </rPr>
      <t>1</t>
    </r>
    <r>
      <rPr>
        <sz val="11"/>
        <color theme="1"/>
        <rFont val="Calibri"/>
        <family val="2"/>
      </rPr>
      <t>-μ</t>
    </r>
    <r>
      <rPr>
        <vertAlign val="subscript"/>
        <sz val="11"/>
        <color theme="1"/>
        <rFont val="Calibri"/>
        <family val="2"/>
      </rPr>
      <t>2</t>
    </r>
  </si>
  <si>
    <t>Hypothesis Tests for Independent Samples</t>
  </si>
  <si>
    <t>Can we prove with 99% certainty that graduates with previous work experience earn more on average than those without?</t>
  </si>
  <si>
    <t>REGRESSION ANALYSIS</t>
  </si>
  <si>
    <t>ASSINGMENT: Hypothesis Tests (Dependent Samples)</t>
  </si>
  <si>
    <t>ASSIGNMENT: Hypothesis Tests (Independent Samples)</t>
  </si>
  <si>
    <t>ASSIGNMENT: Hypothesis Tests (Proportions)</t>
  </si>
  <si>
    <t>ASSIGNMENT: Hypothesis Tests (Two Tail)</t>
  </si>
  <si>
    <t>ASSIGNMENT: Confidence Intervals (Z Distribution)</t>
  </si>
  <si>
    <t>Is a student's MBA Grade related to their Undergrad Grade?</t>
  </si>
  <si>
    <t>Linear Relationships &amp; Scatterplots</t>
  </si>
  <si>
    <t>Correlation</t>
  </si>
  <si>
    <t>ASSIGNMENT: Linear Relationships</t>
  </si>
  <si>
    <t>LINEAR RELATIONSHIP</t>
  </si>
  <si>
    <t>Correlation:</t>
  </si>
  <si>
    <t>Undergrad Grade:</t>
  </si>
  <si>
    <t>LINEAR RELATIONSHIPS</t>
  </si>
  <si>
    <t>Linear Relationships</t>
  </si>
  <si>
    <t>Are any variables related to the Annual Salary?</t>
  </si>
  <si>
    <t>Before:</t>
  </si>
  <si>
    <t>After:</t>
  </si>
  <si>
    <t>Linear Regression</t>
  </si>
  <si>
    <t>Predictions with Excel's Regression Functions</t>
  </si>
  <si>
    <t>Y-Intercept:</t>
  </si>
  <si>
    <t>Slope:</t>
  </si>
  <si>
    <t>PREDICTION</t>
  </si>
  <si>
    <t>REGRESSION MODEL</t>
  </si>
  <si>
    <t>Employability Improvement</t>
  </si>
  <si>
    <t>Is a student's employability score after graduating related to their score before graduating? If so, can we model that relationship?</t>
  </si>
  <si>
    <t>Can we predict a student's employability score after the program by using their employability score before the program?</t>
  </si>
  <si>
    <t>Can we use a variable to predict a student's employability improvement?</t>
  </si>
  <si>
    <t>Simple Linear Regression</t>
  </si>
  <si>
    <t>MODEL EVALUATION</t>
  </si>
  <si>
    <t>SSE:</t>
  </si>
  <si>
    <t>SST:</t>
  </si>
  <si>
    <t>R-Squared:</t>
  </si>
  <si>
    <t>Test Statistic (F):</t>
  </si>
  <si>
    <t>MSR:</t>
  </si>
  <si>
    <t>MSE:</t>
  </si>
  <si>
    <t>Improvement:</t>
  </si>
  <si>
    <t>ASSIGNMENT: Simple Linear Regression</t>
  </si>
  <si>
    <t>R-Squared</t>
  </si>
  <si>
    <t>Standard Error</t>
  </si>
  <si>
    <t>Homoskedasticity</t>
  </si>
  <si>
    <t>Hypothesis Test</t>
  </si>
  <si>
    <t>ASSIGNMENT: Model Evaluation</t>
  </si>
  <si>
    <t>Linear Regression (Analysis ToolPak)</t>
  </si>
  <si>
    <t>How much better is the estimate from our regression model that our mean model?</t>
  </si>
  <si>
    <t>How much is our prediction off on average?</t>
  </si>
  <si>
    <t>Does the model apply for all employability scores?</t>
  </si>
  <si>
    <t>Linear Regression (Excel's Analysis ToolPak)</t>
  </si>
  <si>
    <t>Multiple Linear Regression</t>
  </si>
  <si>
    <t>What proportion of our graduates were placed within 2 months of graduation?</t>
  </si>
  <si>
    <t>75-90</t>
  </si>
  <si>
    <t>90-105</t>
  </si>
  <si>
    <t>105-120</t>
  </si>
  <si>
    <t>120-135</t>
  </si>
  <si>
    <t>135-150</t>
  </si>
  <si>
    <t>150-165</t>
  </si>
  <si>
    <t>165-180</t>
  </si>
  <si>
    <t>180-195</t>
  </si>
  <si>
    <t>195-210</t>
  </si>
  <si>
    <t>210-225</t>
  </si>
  <si>
    <t>225-240</t>
  </si>
  <si>
    <t>240-255</t>
  </si>
  <si>
    <t>255-270</t>
  </si>
  <si>
    <t>270-285</t>
  </si>
  <si>
    <t>285-300</t>
  </si>
  <si>
    <t>300-315</t>
  </si>
  <si>
    <t>315-330</t>
  </si>
  <si>
    <t>330-345</t>
  </si>
  <si>
    <t>Frequency Distributions</t>
  </si>
  <si>
    <t>Measures of Central Tendency</t>
  </si>
  <si>
    <t>Interquartile Range &amp; Five Number Summary</t>
  </si>
  <si>
    <t>Measures of Variability</t>
  </si>
  <si>
    <t>How many standard deviations away from the average is this student's MBA grade?</t>
  </si>
  <si>
    <t>Normal Distributions</t>
  </si>
  <si>
    <r>
      <t>P(MBA Grade</t>
    </r>
    <r>
      <rPr>
        <sz val="11"/>
        <color theme="1"/>
        <rFont val="Calibri"/>
        <family val="2"/>
      </rPr>
      <t>≤</t>
    </r>
    <r>
      <rPr>
        <i/>
        <sz val="11"/>
        <color theme="1"/>
        <rFont val="Calibri"/>
        <family val="2"/>
        <scheme val="minor"/>
      </rPr>
      <t>70):</t>
    </r>
  </si>
  <si>
    <t>PROBABILITY CALCULATOR</t>
  </si>
  <si>
    <t>Calculating Probabilities with the Standard Normal Distribution</t>
  </si>
  <si>
    <t>Calculating Probabilities with the Normal Distribution</t>
  </si>
  <si>
    <t>What is the probability of a graduate getting a final grade 1 standard deviation away from the mean at the most?</t>
  </si>
  <si>
    <t>Normal Distribution Curve</t>
  </si>
  <si>
    <t>VALUE ESTIMATES</t>
  </si>
  <si>
    <t>Value Estimates for the Normal Distribution</t>
  </si>
  <si>
    <t>Z-Score Estimates for the Standard Normal Distribution</t>
  </si>
  <si>
    <t>Z-SCORE ESTIMATE</t>
  </si>
  <si>
    <t>Estimates for the Normal Distribution</t>
  </si>
  <si>
    <t>Confidence Intervals - σ known</t>
  </si>
  <si>
    <t>Confidence Intervals - σ unknown</t>
  </si>
  <si>
    <t>Confidence Intervals for Dependent Samples</t>
  </si>
  <si>
    <r>
      <t>p</t>
    </r>
    <r>
      <rPr>
        <i/>
        <vertAlign val="subscript"/>
        <sz val="11"/>
        <color theme="1"/>
        <rFont val="Calibri"/>
        <family val="2"/>
        <scheme val="minor"/>
      </rPr>
      <t>1</t>
    </r>
    <r>
      <rPr>
        <i/>
        <sz val="11"/>
        <color theme="1"/>
        <rFont val="Calibri"/>
        <family val="2"/>
        <scheme val="minor"/>
      </rPr>
      <t>-p</t>
    </r>
    <r>
      <rPr>
        <i/>
        <vertAlign val="subscript"/>
        <sz val="11"/>
        <color theme="1"/>
        <rFont val="Calibri"/>
        <family val="2"/>
        <scheme val="minor"/>
      </rPr>
      <t>2</t>
    </r>
    <r>
      <rPr>
        <i/>
        <sz val="11"/>
        <color theme="1"/>
        <rFont val="Calibri"/>
        <family val="2"/>
        <scheme val="minor"/>
      </rPr>
      <t xml:space="preserve">:  </t>
    </r>
  </si>
  <si>
    <t>Is p*n&gt;5?:</t>
  </si>
  <si>
    <t>Conclusion</t>
  </si>
  <si>
    <t>Is there less than an 20% chance of 80 being the real MBA grade average with the current curriculum?</t>
  </si>
  <si>
    <t>≥</t>
  </si>
  <si>
    <t>&lt;</t>
  </si>
  <si>
    <t>We're assuming average employability scores of 300 from our graduates… but are they higher than 300 for placed graduates? (let's accept a 15% chance of type I error)</t>
  </si>
  <si>
    <t>Are we ok with assuming that student's employability scores are improving by an average of 50 points after the MBA program?</t>
  </si>
  <si>
    <t>x:</t>
  </si>
  <si>
    <t>Are we at least 95% sure that this isn't just random chance?</t>
  </si>
  <si>
    <t>On average, how much do the improvements in employability scores after the program vary from student to student?</t>
  </si>
  <si>
    <t>EMPLOYABILITY IMPROVEMENT</t>
  </si>
  <si>
    <t>70-90</t>
  </si>
  <si>
    <t>90-110</t>
  </si>
  <si>
    <t>110-130</t>
  </si>
  <si>
    <t>130-150</t>
  </si>
  <si>
    <t>150-170</t>
  </si>
  <si>
    <t>170-190</t>
  </si>
  <si>
    <t>190-210</t>
  </si>
  <si>
    <t>210-230</t>
  </si>
  <si>
    <t>230-250</t>
  </si>
  <si>
    <t>250-270</t>
  </si>
  <si>
    <t>270-290</t>
  </si>
  <si>
    <t>290-310</t>
  </si>
  <si>
    <t>310-330</t>
  </si>
  <si>
    <t>330-350</t>
  </si>
  <si>
    <t>Cumulative Relative Frequency</t>
  </si>
  <si>
    <t>&lt;60</t>
  </si>
  <si>
    <t>&gt;100</t>
  </si>
  <si>
    <t>&lt;-- Best guess of improvement</t>
  </si>
  <si>
    <t>&lt;-- the amount on average using best guess would be wrong by</t>
  </si>
  <si>
    <t>&lt;-- More volatility around the employability scores which will make them harder to estimate in comparison</t>
  </si>
  <si>
    <t>Critical Value:</t>
  </si>
  <si>
    <t>µ</t>
  </si>
  <si>
    <t>Since p&gt;⍺ we don't have sufficient evidence to prove that the average employability scores are any different than 300 
---
We can keeo stating the same average in our communications, keeping in mind that there is 10% chnance that we're wrong.</t>
  </si>
  <si>
    <t>As p&gt;⍺, then we can say that there is not enough evidence to reject the null hypothesis that 80 is the real MBA average grade with the current curriculum
---
We do not have to change our curriculum, keeping in mind that there is a chance we are wrong 2 out of 10 times</t>
  </si>
  <si>
    <t>Since p&lt;⍺, we have sufficient evidence to prove that the average employability scores for placed graduates are greater than 300
---
We should use this as a target, especially since we estimated that our program improves scores by at least 41 points on average</t>
  </si>
  <si>
    <t>We have sufficient evidence to prove that the proportion of placed graduates that earn at least $100k is greater than 50%
---
Let's get that article published! (Just make sure to state that we used a significance level of 5% somewhere in the fine print)</t>
  </si>
  <si>
    <t>Since p&gt;⍺, we don't have sufficient evidence to prove that the average improvement in employability scores is lower than 50</t>
  </si>
  <si>
    <t>Since p&gt;⍺, we don't have sufficient evidence to prove that graudates with previous work experience earn more money
---
No need to filter our applicants</t>
  </si>
  <si>
    <t xml:space="preserve">Undergrad Grade </t>
  </si>
  <si>
    <t>Employability Before</t>
  </si>
  <si>
    <t>SUMMARY OUTPUT</t>
  </si>
  <si>
    <t>Regression Statistics</t>
  </si>
  <si>
    <t>Multiple R</t>
  </si>
  <si>
    <t>R Square</t>
  </si>
  <si>
    <t>Adjusted R Square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</si>
  <si>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</si>
  <si>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</si>
  <si>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</si>
  <si>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</si>
  <si>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</si>
  <si>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</si>
  <si>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</si>
  <si>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</si>
  <si>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</si>
  <si>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</si>
  <si>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</si>
  <si>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</si>
  <si>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</si>
  <si>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</si>
  <si>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</si>
  <si>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</si>
  <si>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</si>
  <si>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</si>
  <si>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RESIDUAL OUTPUT</t>
  </si>
  <si>
    <t>Observation</t>
  </si>
  <si>
    <t>Predicted Employability (After)</t>
  </si>
  <si>
    <t>Residuals</t>
  </si>
  <si>
    <t>Undergrade Grade: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</si>
</sst>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6" formatCode="&quot;$&quot;#,##0_);[Red]\(&quot;$&quot;#,##0\)"/>
    <numFmt numFmtId="164" formatCode="_(@"/>
    <numFmt numFmtId="165" formatCode="&quot;$&quot;#,##0"/>
    <numFmt numFmtId="166" formatCode="0.0"/>
    <numFmt numFmtId="167" formatCode="0.000"/>
    <numFmt numFmtId="168" formatCode="#,##0.0"/>
    <numFmt numFmtId="169" formatCode="0.0%"/>
    <numFmt numFmtId="170" formatCode="0.0000"/>
    <numFmt numFmtId="171" formatCode="#,##0.0000"/>
    <numFmt numFmtId="172" formatCode="&quot;$&quot;#,##0.00"/>
    <numFmt numFmtId="173" formatCode="0.0000%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 tint="0.499984740745262"/>
      <name val="Calibri"/>
      <family val="2"/>
      <scheme val="minor"/>
    </font>
    <font>
      <sz val="11"/>
      <color theme="2" tint="-0.249977111117893"/>
      <name val="Calibri"/>
      <family val="2"/>
      <scheme val="minor"/>
    </font>
    <font>
      <sz val="12"/>
      <color theme="1" tint="0.34998626667073579"/>
      <name val="Calibri"/>
      <family val="2"/>
      <scheme val="minor"/>
    </font>
    <font>
      <sz val="12"/>
      <color rgb="FF595959"/>
      <name val="Calibri"/>
      <family val="2"/>
      <scheme val="minor"/>
    </font>
    <font>
      <b/>
      <sz val="14"/>
      <color rgb="FF000000"/>
      <name val="Calibri"/>
      <family val="2"/>
      <scheme val="minor"/>
    </font>
    <font>
      <i/>
      <vertAlign val="superscript"/>
      <sz val="11"/>
      <color theme="1"/>
      <name val="Calibri"/>
      <family val="2"/>
      <scheme val="minor"/>
    </font>
    <font>
      <i/>
      <vertAlign val="subscript"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vertAlign val="subscript"/>
      <sz val="11"/>
      <color theme="1"/>
      <name val="Calibri"/>
      <family val="2"/>
    </font>
    <font>
      <i/>
      <sz val="11"/>
      <color theme="1" tint="0.499984740745262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sz val="11"/>
      <color theme="1"/>
      <name val="Aptos Narrow"/>
    </font>
  </fonts>
  <fills count="1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0F3FA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DEFE7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EFF6EA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7E1"/>
        <bgColor indexed="64"/>
      </patternFill>
    </fill>
    <fill>
      <patternFill patternType="solid">
        <fgColor rgb="FF8D42C6"/>
        <bgColor indexed="64"/>
      </patternFill>
    </fill>
    <fill>
      <patternFill patternType="solid">
        <fgColor rgb="FFEFE5F7"/>
        <bgColor indexed="64"/>
      </patternFill>
    </fill>
    <fill>
      <patternFill patternType="solid">
        <fgColor rgb="FFE8D9F3"/>
        <bgColor indexed="64"/>
      </patternFill>
    </fill>
  </fills>
  <borders count="11">
    <border>
      <left/>
      <right/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/>
      <top style="thin">
        <color theme="2"/>
      </top>
      <bottom style="thin">
        <color theme="2"/>
      </bottom>
      <diagonal/>
    </border>
    <border>
      <left/>
      <right/>
      <top style="thin">
        <color theme="2"/>
      </top>
      <bottom style="thin">
        <color theme="2"/>
      </bottom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thin">
        <color theme="2"/>
      </left>
      <right style="thin">
        <color theme="2"/>
      </right>
      <top/>
      <bottom style="thin">
        <color theme="2"/>
      </bottom>
      <diagonal/>
    </border>
    <border>
      <left/>
      <right/>
      <top/>
      <bottom style="thin">
        <color theme="2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11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5" fillId="0" borderId="0" xfId="0" applyFont="1"/>
    <xf numFmtId="0" fontId="6" fillId="4" borderId="1" xfId="2" applyFill="1" applyBorder="1" applyAlignment="1">
      <alignment horizontal="center" vertical="center"/>
    </xf>
    <xf numFmtId="164" fontId="0" fillId="4" borderId="1" xfId="0" applyNumberFormat="1" applyFill="1" applyBorder="1" applyAlignment="1">
      <alignment vertical="center"/>
    </xf>
    <xf numFmtId="6" fontId="0" fillId="0" borderId="0" xfId="0" applyNumberFormat="1"/>
    <xf numFmtId="0" fontId="2" fillId="5" borderId="2" xfId="0" applyFont="1" applyFill="1" applyBorder="1"/>
    <xf numFmtId="0" fontId="0" fillId="0" borderId="2" xfId="0" applyBorder="1"/>
    <xf numFmtId="0" fontId="0" fillId="0" borderId="0" xfId="0" pivotButton="1"/>
    <xf numFmtId="0" fontId="2" fillId="7" borderId="0" xfId="0" applyFont="1" applyFill="1"/>
    <xf numFmtId="165" fontId="0" fillId="0" borderId="0" xfId="0" applyNumberFormat="1"/>
    <xf numFmtId="6" fontId="0" fillId="0" borderId="2" xfId="0" applyNumberFormat="1" applyBorder="1"/>
    <xf numFmtId="0" fontId="2" fillId="5" borderId="2" xfId="0" applyFont="1" applyFill="1" applyBorder="1" applyAlignment="1">
      <alignment wrapText="1"/>
    </xf>
    <xf numFmtId="0" fontId="2" fillId="5" borderId="2" xfId="0" applyFont="1" applyFill="1" applyBorder="1" applyAlignment="1">
      <alignment horizontal="left" wrapText="1"/>
    </xf>
    <xf numFmtId="164" fontId="2" fillId="2" borderId="1" xfId="0" applyNumberFormat="1" applyFont="1" applyFill="1" applyBorder="1" applyAlignment="1">
      <alignment vertical="center"/>
    </xf>
    <xf numFmtId="0" fontId="6" fillId="2" borderId="1" xfId="2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3" fillId="0" borderId="0" xfId="0" applyFont="1"/>
    <xf numFmtId="6" fontId="0" fillId="0" borderId="0" xfId="0" applyNumberFormat="1" applyAlignment="1">
      <alignment horizontal="center"/>
    </xf>
    <xf numFmtId="0" fontId="5" fillId="0" borderId="0" xfId="0" applyFont="1" applyAlignment="1">
      <alignment horizontal="right"/>
    </xf>
    <xf numFmtId="166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64" fontId="0" fillId="8" borderId="1" xfId="0" applyNumberFormat="1" applyFill="1" applyBorder="1" applyAlignment="1">
      <alignment vertical="center"/>
    </xf>
    <xf numFmtId="0" fontId="6" fillId="8" borderId="1" xfId="2" applyFill="1" applyBorder="1" applyAlignment="1">
      <alignment horizontal="center" vertical="center"/>
    </xf>
    <xf numFmtId="164" fontId="2" fillId="7" borderId="1" xfId="0" applyNumberFormat="1" applyFont="1" applyFill="1" applyBorder="1" applyAlignment="1">
      <alignment vertical="center"/>
    </xf>
    <xf numFmtId="0" fontId="6" fillId="7" borderId="1" xfId="2" applyFill="1" applyBorder="1" applyAlignment="1">
      <alignment horizontal="center" vertical="center"/>
    </xf>
    <xf numFmtId="0" fontId="5" fillId="0" borderId="0" xfId="0" applyFont="1" applyAlignment="1">
      <alignment horizontal="right" wrapText="1"/>
    </xf>
    <xf numFmtId="165" fontId="0" fillId="0" borderId="0" xfId="0" applyNumberFormat="1" applyAlignment="1">
      <alignment horizontal="center"/>
    </xf>
    <xf numFmtId="10" fontId="0" fillId="0" borderId="0" xfId="1" applyNumberFormat="1" applyFont="1" applyAlignment="1">
      <alignment horizontal="center"/>
    </xf>
    <xf numFmtId="0" fontId="9" fillId="0" borderId="0" xfId="0" applyFont="1"/>
    <xf numFmtId="0" fontId="10" fillId="0" borderId="0" xfId="0" applyFont="1"/>
    <xf numFmtId="0" fontId="6" fillId="9" borderId="1" xfId="2" applyFill="1" applyBorder="1" applyAlignment="1">
      <alignment horizontal="center" vertical="center"/>
    </xf>
    <xf numFmtId="164" fontId="0" fillId="12" borderId="1" xfId="0" applyNumberFormat="1" applyFill="1" applyBorder="1" applyAlignment="1">
      <alignment vertical="center"/>
    </xf>
    <xf numFmtId="0" fontId="6" fillId="12" borderId="1" xfId="2" applyFill="1" applyBorder="1" applyAlignment="1">
      <alignment horizontal="center" vertical="center"/>
    </xf>
    <xf numFmtId="164" fontId="2" fillId="9" borderId="1" xfId="0" applyNumberFormat="1" applyFont="1" applyFill="1" applyBorder="1" applyAlignment="1">
      <alignment vertical="center"/>
    </xf>
    <xf numFmtId="0" fontId="0" fillId="0" borderId="0" xfId="1" applyNumberFormat="1" applyFont="1" applyAlignment="1">
      <alignment horizontal="center"/>
    </xf>
    <xf numFmtId="167" fontId="0" fillId="0" borderId="0" xfId="1" applyNumberFormat="1" applyFont="1" applyAlignment="1">
      <alignment horizontal="center"/>
    </xf>
    <xf numFmtId="170" fontId="0" fillId="0" borderId="0" xfId="0" applyNumberFormat="1" applyAlignment="1">
      <alignment horizontal="center"/>
    </xf>
    <xf numFmtId="0" fontId="11" fillId="0" borderId="0" xfId="0" applyFont="1"/>
    <xf numFmtId="0" fontId="2" fillId="5" borderId="4" xfId="0" applyFont="1" applyFill="1" applyBorder="1"/>
    <xf numFmtId="0" fontId="2" fillId="5" borderId="3" xfId="0" applyFont="1" applyFill="1" applyBorder="1"/>
    <xf numFmtId="0" fontId="2" fillId="5" borderId="0" xfId="0" applyFont="1" applyFill="1"/>
    <xf numFmtId="0" fontId="2" fillId="5" borderId="5" xfId="0" applyFont="1" applyFill="1" applyBorder="1"/>
    <xf numFmtId="3" fontId="0" fillId="0" borderId="0" xfId="0" applyNumberFormat="1" applyAlignment="1">
      <alignment horizontal="center"/>
    </xf>
    <xf numFmtId="164" fontId="2" fillId="14" borderId="1" xfId="0" applyNumberFormat="1" applyFont="1" applyFill="1" applyBorder="1" applyAlignment="1">
      <alignment vertical="center"/>
    </xf>
    <xf numFmtId="0" fontId="6" fillId="14" borderId="1" xfId="2" applyFill="1" applyBorder="1" applyAlignment="1">
      <alignment horizontal="center" vertical="center"/>
    </xf>
    <xf numFmtId="164" fontId="0" fillId="15" borderId="1" xfId="0" applyNumberFormat="1" applyFill="1" applyBorder="1" applyAlignment="1">
      <alignment vertical="center"/>
    </xf>
    <xf numFmtId="0" fontId="6" fillId="15" borderId="1" xfId="2" applyFill="1" applyBorder="1" applyAlignment="1">
      <alignment horizontal="center" vertical="center"/>
    </xf>
    <xf numFmtId="164" fontId="0" fillId="15" borderId="6" xfId="0" applyNumberFormat="1" applyFill="1" applyBorder="1" applyAlignment="1">
      <alignment vertical="center"/>
    </xf>
    <xf numFmtId="0" fontId="2" fillId="2" borderId="0" xfId="0" applyFont="1" applyFill="1" applyAlignment="1">
      <alignment horizontal="center"/>
    </xf>
    <xf numFmtId="0" fontId="0" fillId="0" borderId="7" xfId="0" applyBorder="1"/>
    <xf numFmtId="6" fontId="0" fillId="0" borderId="7" xfId="0" applyNumberFormat="1" applyBorder="1"/>
    <xf numFmtId="165" fontId="0" fillId="0" borderId="2" xfId="0" applyNumberFormat="1" applyBorder="1"/>
    <xf numFmtId="164" fontId="0" fillId="17" borderId="1" xfId="0" applyNumberFormat="1" applyFill="1" applyBorder="1" applyAlignment="1">
      <alignment vertical="center"/>
    </xf>
    <xf numFmtId="0" fontId="6" fillId="17" borderId="1" xfId="2" applyFill="1" applyBorder="1" applyAlignment="1">
      <alignment horizontal="center" vertical="center"/>
    </xf>
    <xf numFmtId="164" fontId="2" fillId="18" borderId="1" xfId="0" applyNumberFormat="1" applyFont="1" applyFill="1" applyBorder="1" applyAlignment="1">
      <alignment vertical="center"/>
    </xf>
    <xf numFmtId="0" fontId="6" fillId="18" borderId="1" xfId="2" applyFill="1" applyBorder="1" applyAlignment="1">
      <alignment horizontal="center" vertical="center"/>
    </xf>
    <xf numFmtId="0" fontId="16" fillId="0" borderId="0" xfId="0" applyFont="1" applyAlignment="1">
      <alignment horizontal="right"/>
    </xf>
    <xf numFmtId="10" fontId="0" fillId="0" borderId="2" xfId="1" applyNumberFormat="1" applyFont="1" applyBorder="1"/>
    <xf numFmtId="0" fontId="2" fillId="7" borderId="4" xfId="0" applyFont="1" applyFill="1" applyBorder="1"/>
    <xf numFmtId="0" fontId="2" fillId="7" borderId="5" xfId="0" applyFont="1" applyFill="1" applyBorder="1"/>
    <xf numFmtId="0" fontId="2" fillId="7" borderId="3" xfId="0" applyFont="1" applyFill="1" applyBorder="1"/>
    <xf numFmtId="0" fontId="2" fillId="9" borderId="4" xfId="0" applyFont="1" applyFill="1" applyBorder="1"/>
    <xf numFmtId="0" fontId="2" fillId="9" borderId="5" xfId="0" applyFont="1" applyFill="1" applyBorder="1"/>
    <xf numFmtId="0" fontId="2" fillId="9" borderId="3" xfId="0" applyFont="1" applyFill="1" applyBorder="1"/>
    <xf numFmtId="0" fontId="7" fillId="10" borderId="2" xfId="0" applyFont="1" applyFill="1" applyBorder="1" applyAlignment="1">
      <alignment wrapText="1"/>
    </xf>
    <xf numFmtId="0" fontId="2" fillId="9" borderId="5" xfId="0" applyFont="1" applyFill="1" applyBorder="1" applyAlignment="1">
      <alignment wrapText="1"/>
    </xf>
    <xf numFmtId="0" fontId="8" fillId="0" borderId="2" xfId="0" applyFont="1" applyBorder="1" applyAlignment="1">
      <alignment horizontal="center"/>
    </xf>
    <xf numFmtId="6" fontId="0" fillId="0" borderId="2" xfId="0" applyNumberFormat="1" applyBorder="1" applyAlignment="1">
      <alignment horizontal="center"/>
    </xf>
    <xf numFmtId="167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166" fontId="0" fillId="0" borderId="2" xfId="0" applyNumberForma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3" fontId="0" fillId="0" borderId="2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168" fontId="0" fillId="0" borderId="2" xfId="0" applyNumberFormat="1" applyBorder="1" applyAlignment="1">
      <alignment horizontal="center"/>
    </xf>
    <xf numFmtId="9" fontId="0" fillId="0" borderId="2" xfId="1" applyFont="1" applyBorder="1" applyAlignment="1">
      <alignment horizontal="center"/>
    </xf>
    <xf numFmtId="169" fontId="0" fillId="0" borderId="2" xfId="1" applyNumberFormat="1" applyFont="1" applyBorder="1" applyAlignment="1">
      <alignment horizontal="center"/>
    </xf>
    <xf numFmtId="169" fontId="0" fillId="0" borderId="2" xfId="1" applyNumberFormat="1" applyFont="1" applyBorder="1" applyAlignment="1">
      <alignment horizontal="center" wrapText="1"/>
    </xf>
    <xf numFmtId="165" fontId="0" fillId="0" borderId="2" xfId="0" applyNumberFormat="1" applyBorder="1" applyAlignment="1">
      <alignment horizontal="center"/>
    </xf>
    <xf numFmtId="10" fontId="0" fillId="0" borderId="2" xfId="1" applyNumberFormat="1" applyFont="1" applyBorder="1" applyAlignment="1">
      <alignment horizontal="center"/>
    </xf>
    <xf numFmtId="9" fontId="0" fillId="0" borderId="2" xfId="0" applyNumberFormat="1" applyBorder="1" applyAlignment="1">
      <alignment horizontal="center"/>
    </xf>
    <xf numFmtId="166" fontId="0" fillId="0" borderId="2" xfId="1" applyNumberFormat="1" applyFont="1" applyBorder="1" applyAlignment="1">
      <alignment horizontal="center"/>
    </xf>
    <xf numFmtId="2" fontId="0" fillId="0" borderId="2" xfId="1" applyNumberFormat="1" applyFont="1" applyBorder="1" applyAlignment="1">
      <alignment horizontal="center"/>
    </xf>
    <xf numFmtId="0" fontId="0" fillId="0" borderId="2" xfId="1" applyNumberFormat="1" applyFont="1" applyBorder="1" applyAlignment="1">
      <alignment horizontal="center"/>
    </xf>
    <xf numFmtId="167" fontId="0" fillId="0" borderId="2" xfId="1" applyNumberFormat="1" applyFont="1" applyBorder="1" applyAlignment="1">
      <alignment horizontal="center"/>
    </xf>
    <xf numFmtId="170" fontId="0" fillId="0" borderId="2" xfId="0" applyNumberFormat="1" applyBorder="1" applyAlignment="1">
      <alignment horizontal="center"/>
    </xf>
    <xf numFmtId="169" fontId="0" fillId="0" borderId="2" xfId="0" applyNumberFormat="1" applyBorder="1" applyAlignment="1">
      <alignment horizontal="center"/>
    </xf>
    <xf numFmtId="9" fontId="14" fillId="0" borderId="2" xfId="0" applyNumberFormat="1" applyFont="1" applyBorder="1" applyAlignment="1">
      <alignment horizontal="center"/>
    </xf>
    <xf numFmtId="0" fontId="14" fillId="0" borderId="2" xfId="0" applyFont="1" applyBorder="1" applyAlignment="1">
      <alignment horizontal="center"/>
    </xf>
    <xf numFmtId="4" fontId="0" fillId="0" borderId="2" xfId="0" applyNumberFormat="1" applyBorder="1" applyAlignment="1">
      <alignment horizontal="center"/>
    </xf>
    <xf numFmtId="0" fontId="14" fillId="0" borderId="0" xfId="0" applyFont="1"/>
    <xf numFmtId="168" fontId="14" fillId="0" borderId="2" xfId="0" applyNumberFormat="1" applyFont="1" applyBorder="1" applyAlignment="1">
      <alignment horizontal="center"/>
    </xf>
    <xf numFmtId="171" fontId="0" fillId="0" borderId="2" xfId="0" applyNumberFormat="1" applyBorder="1" applyAlignment="1">
      <alignment horizontal="center"/>
    </xf>
    <xf numFmtId="0" fontId="0" fillId="0" borderId="0" xfId="0" quotePrefix="1"/>
    <xf numFmtId="170" fontId="5" fillId="0" borderId="0" xfId="0" applyNumberFormat="1" applyFont="1" applyAlignment="1">
      <alignment horizontal="center"/>
    </xf>
    <xf numFmtId="3" fontId="17" fillId="0" borderId="2" xfId="0" applyNumberFormat="1" applyFont="1" applyBorder="1" applyAlignment="1">
      <alignment horizontal="center"/>
    </xf>
    <xf numFmtId="172" fontId="0" fillId="0" borderId="0" xfId="0" applyNumberFormat="1"/>
    <xf numFmtId="2" fontId="0" fillId="0" borderId="0" xfId="0" applyNumberFormat="1"/>
    <xf numFmtId="0" fontId="2" fillId="5" borderId="8" xfId="0" applyFont="1" applyFill="1" applyBorder="1"/>
    <xf numFmtId="0" fontId="0" fillId="0" borderId="0" xfId="0" applyAlignment="1">
      <alignment horizontal="left"/>
    </xf>
    <xf numFmtId="10" fontId="0" fillId="0" borderId="0" xfId="0" applyNumberFormat="1"/>
    <xf numFmtId="166" fontId="0" fillId="0" borderId="3" xfId="1" applyNumberFormat="1" applyFont="1" applyBorder="1" applyAlignment="1">
      <alignment horizontal="center"/>
    </xf>
    <xf numFmtId="173" fontId="0" fillId="0" borderId="2" xfId="0" applyNumberFormat="1" applyBorder="1" applyAlignment="1">
      <alignment horizontal="center"/>
    </xf>
    <xf numFmtId="9" fontId="18" fillId="0" borderId="2" xfId="0" applyNumberFormat="1" applyFont="1" applyBorder="1" applyAlignment="1">
      <alignment horizontal="center"/>
    </xf>
    <xf numFmtId="0" fontId="2" fillId="7" borderId="0" xfId="0" applyFont="1" applyFill="1" applyAlignment="1">
      <alignment horizontal="center"/>
    </xf>
    <xf numFmtId="0" fontId="0" fillId="0" borderId="9" xfId="0" applyBorder="1"/>
    <xf numFmtId="0" fontId="5" fillId="0" borderId="10" xfId="0" applyFont="1" applyBorder="1" applyAlignment="1">
      <alignment horizontal="center"/>
    </xf>
    <xf numFmtId="0" fontId="5" fillId="0" borderId="10" xfId="0" applyFont="1" applyBorder="1" applyAlignment="1">
      <alignment horizontal="centerContinuous"/>
    </xf>
    <xf numFmtId="0" fontId="4" fillId="3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/>
    </xf>
    <xf numFmtId="0" fontId="4" fillId="16" borderId="1" xfId="0" applyFont="1" applyFill="1" applyBorder="1" applyAlignment="1">
      <alignment horizontal="center" vertical="center"/>
    </xf>
    <xf numFmtId="0" fontId="2" fillId="7" borderId="0" xfId="0" applyFont="1" applyFill="1" applyAlignment="1">
      <alignment horizontal="center"/>
    </xf>
    <xf numFmtId="0" fontId="2" fillId="9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0" borderId="2" xfId="0" applyBorder="1" applyAlignment="1">
      <alignment horizontal="left" vertical="top" wrapText="1"/>
    </xf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EFE5F7"/>
      <color rgb="FFE2D0F0"/>
      <color rgb="FF63BE7B"/>
      <color rgb="FFF8696B"/>
      <color rgb="FF8037B7"/>
      <color rgb="FFE8D9F3"/>
      <color rgb="FFE4D3F1"/>
      <color rgb="FFE9DCF4"/>
      <color rgb="FF8D42C6"/>
      <color rgb="FFFFF7E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pivotCacheDefinition" Target="pivotCache/pivotCacheDefinition3.xml"/><Relationship Id="rId68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pivotCacheDefinition" Target="pivotCache/pivotCacheDefinition6.xml"/><Relationship Id="rId5" Type="http://schemas.openxmlformats.org/officeDocument/2006/relationships/worksheet" Target="worksheets/sheet5.xml"/><Relationship Id="rId61" Type="http://schemas.openxmlformats.org/officeDocument/2006/relationships/pivotCacheDefinition" Target="pivotCache/pivotCacheDefinition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pivotCacheDefinition" Target="pivotCache/pivotCacheDefinition4.xml"/><Relationship Id="rId69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pivotCacheDefinition" Target="pivotCache/pivotCacheDefinition2.xml"/><Relationship Id="rId7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pivotCacheDefinition" Target="pivotCache/pivotCacheDefinition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Salary</a:t>
            </a:r>
            <a:r>
              <a:rPr lang="en-US" baseline="0"/>
              <a:t> Distribution for MBA Graduates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solidFill>
                <a:schemeClr val="bg1"/>
              </a:solidFill>
            </a:ln>
            <a:effectLst/>
          </c:spPr>
          <c:invertIfNegative val="0"/>
          <c:cat>
            <c:strRef>
              <c:f>Histograms!$L$6:$L$23</c:f>
              <c:strCache>
                <c:ptCount val="18"/>
                <c:pt idx="0">
                  <c:v>75-90</c:v>
                </c:pt>
                <c:pt idx="1">
                  <c:v>90-105</c:v>
                </c:pt>
                <c:pt idx="2">
                  <c:v>105-120</c:v>
                </c:pt>
                <c:pt idx="3">
                  <c:v>120-135</c:v>
                </c:pt>
                <c:pt idx="4">
                  <c:v>135-150</c:v>
                </c:pt>
                <c:pt idx="5">
                  <c:v>150-165</c:v>
                </c:pt>
                <c:pt idx="6">
                  <c:v>165-180</c:v>
                </c:pt>
                <c:pt idx="7">
                  <c:v>180-195</c:v>
                </c:pt>
                <c:pt idx="8">
                  <c:v>195-210</c:v>
                </c:pt>
                <c:pt idx="9">
                  <c:v>210-225</c:v>
                </c:pt>
                <c:pt idx="10">
                  <c:v>225-240</c:v>
                </c:pt>
                <c:pt idx="11">
                  <c:v>240-255</c:v>
                </c:pt>
                <c:pt idx="12">
                  <c:v>255-270</c:v>
                </c:pt>
                <c:pt idx="13">
                  <c:v>270-285</c:v>
                </c:pt>
                <c:pt idx="14">
                  <c:v>285-300</c:v>
                </c:pt>
                <c:pt idx="15">
                  <c:v>300-315</c:v>
                </c:pt>
                <c:pt idx="16">
                  <c:v>315-330</c:v>
                </c:pt>
                <c:pt idx="17">
                  <c:v>330-345</c:v>
                </c:pt>
              </c:strCache>
            </c:strRef>
          </c:cat>
          <c:val>
            <c:numRef>
              <c:f>Histograms!$M$6:$M$23</c:f>
              <c:numCache>
                <c:formatCode>General</c:formatCode>
                <c:ptCount val="18"/>
                <c:pt idx="0">
                  <c:v>9</c:v>
                </c:pt>
                <c:pt idx="1">
                  <c:v>18</c:v>
                </c:pt>
                <c:pt idx="2">
                  <c:v>9</c:v>
                </c:pt>
                <c:pt idx="3">
                  <c:v>7</c:v>
                </c:pt>
                <c:pt idx="4">
                  <c:v>3</c:v>
                </c:pt>
                <c:pt idx="5">
                  <c:v>2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76-8347-8FD9-3110B7A756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27"/>
        <c:axId val="2143772432"/>
        <c:axId val="1881127856"/>
      </c:barChart>
      <c:catAx>
        <c:axId val="21437724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Annual</a:t>
                </a:r>
                <a:r>
                  <a:rPr lang="en-US" baseline="0"/>
                  <a:t> Salary (Thousands of USD)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1127856"/>
        <c:crosses val="autoZero"/>
        <c:auto val="1"/>
        <c:lblAlgn val="ctr"/>
        <c:lblOffset val="100"/>
        <c:noMultiLvlLbl val="0"/>
      </c:catAx>
      <c:valAx>
        <c:axId val="188112785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Frequency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3772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[Excel_Statistics.xlsx]Frequency Distributions!PivotTable4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Distribution</a:t>
            </a:r>
            <a:r>
              <a:rPr lang="en-US" baseline="0"/>
              <a:t> of Grades for MBA Graduates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solidFill>
              <a:schemeClr val="bg1">
                <a:alpha val="38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'Frequency Distributions'!$E$5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bg1">
                  <a:alpha val="38000"/>
                </a:schemeClr>
              </a:solidFill>
            </a:ln>
            <a:effectLst/>
          </c:spPr>
          <c:invertIfNegative val="0"/>
          <c:cat>
            <c:strRef>
              <c:f>'Frequency Distributions'!$D$6:$D$14</c:f>
              <c:strCache>
                <c:ptCount val="8"/>
                <c:pt idx="0">
                  <c:v>60-65</c:v>
                </c:pt>
                <c:pt idx="1">
                  <c:v>65-70</c:v>
                </c:pt>
                <c:pt idx="2">
                  <c:v>70-75</c:v>
                </c:pt>
                <c:pt idx="3">
                  <c:v>75-80</c:v>
                </c:pt>
                <c:pt idx="4">
                  <c:v>80-85</c:v>
                </c:pt>
                <c:pt idx="5">
                  <c:v>85-90</c:v>
                </c:pt>
                <c:pt idx="6">
                  <c:v>90-95</c:v>
                </c:pt>
                <c:pt idx="7">
                  <c:v>95-100</c:v>
                </c:pt>
              </c:strCache>
            </c:strRef>
          </c:cat>
          <c:val>
            <c:numRef>
              <c:f>'Frequency Distributions'!$E$6:$E$14</c:f>
              <c:numCache>
                <c:formatCode>General</c:formatCode>
                <c:ptCount val="8"/>
                <c:pt idx="0">
                  <c:v>1</c:v>
                </c:pt>
                <c:pt idx="1">
                  <c:v>3</c:v>
                </c:pt>
                <c:pt idx="2">
                  <c:v>17</c:v>
                </c:pt>
                <c:pt idx="3">
                  <c:v>24</c:v>
                </c:pt>
                <c:pt idx="4">
                  <c:v>29</c:v>
                </c:pt>
                <c:pt idx="5">
                  <c:v>17</c:v>
                </c:pt>
                <c:pt idx="6">
                  <c:v>3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AB-FC45-9BA1-2635C16F43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27"/>
        <c:axId val="172962479"/>
        <c:axId val="2040744848"/>
      </c:barChart>
      <c:catAx>
        <c:axId val="1729624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Grade</a:t>
                </a:r>
                <a:r>
                  <a:rPr lang="en-US" baseline="0"/>
                  <a:t> Average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0744848"/>
        <c:crosses val="autoZero"/>
        <c:auto val="1"/>
        <c:lblAlgn val="ctr"/>
        <c:lblOffset val="100"/>
        <c:noMultiLvlLbl val="0"/>
      </c:catAx>
      <c:valAx>
        <c:axId val="204074484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Graduates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9624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[Excel_Statistics.xlsx]Central Tendency!PivotTable5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Grade</a:t>
            </a:r>
            <a:r>
              <a:rPr lang="en-US" baseline="0"/>
              <a:t> Distribution of Business Undergrads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'Central Tendency'!$G$15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bg1"/>
              </a:solidFill>
            </a:ln>
            <a:effectLst/>
          </c:spPr>
          <c:invertIfNegative val="0"/>
          <c:cat>
            <c:strRef>
              <c:f>'Central Tendency'!$F$16:$F$26</c:f>
              <c:strCache>
                <c:ptCount val="10"/>
                <c:pt idx="0">
                  <c:v>&lt;60</c:v>
                </c:pt>
                <c:pt idx="1">
                  <c:v>60-65</c:v>
                </c:pt>
                <c:pt idx="2">
                  <c:v>65-70</c:v>
                </c:pt>
                <c:pt idx="3">
                  <c:v>70-75</c:v>
                </c:pt>
                <c:pt idx="4">
                  <c:v>75-80</c:v>
                </c:pt>
                <c:pt idx="5">
                  <c:v>80-85</c:v>
                </c:pt>
                <c:pt idx="6">
                  <c:v>85-90</c:v>
                </c:pt>
                <c:pt idx="7">
                  <c:v>90-95</c:v>
                </c:pt>
                <c:pt idx="8">
                  <c:v>95-100</c:v>
                </c:pt>
                <c:pt idx="9">
                  <c:v>&gt;100</c:v>
                </c:pt>
              </c:strCache>
            </c:strRef>
          </c:cat>
          <c:val>
            <c:numRef>
              <c:f>'Central Tendency'!$G$16:$G$26</c:f>
              <c:numCache>
                <c:formatCode>General</c:formatCode>
                <c:ptCount val="10"/>
                <c:pt idx="3">
                  <c:v>8</c:v>
                </c:pt>
                <c:pt idx="4">
                  <c:v>8</c:v>
                </c:pt>
                <c:pt idx="5">
                  <c:v>10</c:v>
                </c:pt>
                <c:pt idx="6">
                  <c:v>6</c:v>
                </c:pt>
                <c:pt idx="7">
                  <c:v>3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20-B54E-B3E5-0EC58D6150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27"/>
        <c:axId val="1687562512"/>
        <c:axId val="1687231648"/>
      </c:barChart>
      <c:catAx>
        <c:axId val="16875625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Grade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7231648"/>
        <c:crosses val="autoZero"/>
        <c:auto val="1"/>
        <c:lblAlgn val="ctr"/>
        <c:lblOffset val="100"/>
        <c:noMultiLvlLbl val="0"/>
      </c:catAx>
      <c:valAx>
        <c:axId val="168723164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Frequency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75625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[Excel_Statistics.xlsx]Central Tendency!PivotTable6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Grade Distribution</a:t>
            </a:r>
            <a:r>
              <a:rPr lang="en-US" baseline="0"/>
              <a:t> of "Other" Undergrads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'Central Tendency'!$K$15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bg1"/>
              </a:solidFill>
            </a:ln>
            <a:effectLst/>
          </c:spPr>
          <c:invertIfNegative val="0"/>
          <c:cat>
            <c:strRef>
              <c:f>'Central Tendency'!$J$16:$J$26</c:f>
              <c:strCache>
                <c:ptCount val="10"/>
                <c:pt idx="0">
                  <c:v>&lt;60</c:v>
                </c:pt>
                <c:pt idx="1">
                  <c:v>60-65</c:v>
                </c:pt>
                <c:pt idx="2">
                  <c:v>65-70</c:v>
                </c:pt>
                <c:pt idx="3">
                  <c:v>70-75</c:v>
                </c:pt>
                <c:pt idx="4">
                  <c:v>75-80</c:v>
                </c:pt>
                <c:pt idx="5">
                  <c:v>80-85</c:v>
                </c:pt>
                <c:pt idx="6">
                  <c:v>85-90</c:v>
                </c:pt>
                <c:pt idx="7">
                  <c:v>90-95</c:v>
                </c:pt>
                <c:pt idx="8">
                  <c:v>95-100</c:v>
                </c:pt>
                <c:pt idx="9">
                  <c:v>&gt;100</c:v>
                </c:pt>
              </c:strCache>
            </c:strRef>
          </c:cat>
          <c:val>
            <c:numRef>
              <c:f>'Central Tendency'!$K$16:$K$26</c:f>
              <c:numCache>
                <c:formatCode>General</c:formatCode>
                <c:ptCount val="10"/>
                <c:pt idx="1">
                  <c:v>1</c:v>
                </c:pt>
                <c:pt idx="2">
                  <c:v>3</c:v>
                </c:pt>
                <c:pt idx="3">
                  <c:v>9</c:v>
                </c:pt>
                <c:pt idx="4">
                  <c:v>16</c:v>
                </c:pt>
                <c:pt idx="5">
                  <c:v>19</c:v>
                </c:pt>
                <c:pt idx="6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29-C649-9D98-BDEE7B5970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27"/>
        <c:axId val="1751818256"/>
        <c:axId val="145144415"/>
      </c:barChart>
      <c:catAx>
        <c:axId val="17518182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Grade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144415"/>
        <c:crosses val="autoZero"/>
        <c:auto val="1"/>
        <c:lblAlgn val="ctr"/>
        <c:lblOffset val="100"/>
        <c:noMultiLvlLbl val="0"/>
      </c:catAx>
      <c:valAx>
        <c:axId val="14514441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Frequency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1818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[Excel_Statistics.xlsx]Normal Distribution!PivotTable1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Grade Distribution for MBA Graduates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9525"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'Normal Distribution'!$E$5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 w="9525">
              <a:solidFill>
                <a:schemeClr val="bg1"/>
              </a:solidFill>
            </a:ln>
            <a:effectLst/>
          </c:spPr>
          <c:invertIfNegative val="0"/>
          <c:cat>
            <c:strRef>
              <c:f>'Normal Distribution'!$D$6:$D$14</c:f>
              <c:strCache>
                <c:ptCount val="8"/>
                <c:pt idx="0">
                  <c:v>60-65</c:v>
                </c:pt>
                <c:pt idx="1">
                  <c:v>65-70</c:v>
                </c:pt>
                <c:pt idx="2">
                  <c:v>70-75</c:v>
                </c:pt>
                <c:pt idx="3">
                  <c:v>75-80</c:v>
                </c:pt>
                <c:pt idx="4">
                  <c:v>80-85</c:v>
                </c:pt>
                <c:pt idx="5">
                  <c:v>85-90</c:v>
                </c:pt>
                <c:pt idx="6">
                  <c:v>90-95</c:v>
                </c:pt>
                <c:pt idx="7">
                  <c:v>95-100</c:v>
                </c:pt>
              </c:strCache>
            </c:strRef>
          </c:cat>
          <c:val>
            <c:numRef>
              <c:f>'Normal Distribution'!$E$6:$E$14</c:f>
              <c:numCache>
                <c:formatCode>General</c:formatCode>
                <c:ptCount val="8"/>
                <c:pt idx="0">
                  <c:v>1</c:v>
                </c:pt>
                <c:pt idx="1">
                  <c:v>3</c:v>
                </c:pt>
                <c:pt idx="2">
                  <c:v>17</c:v>
                </c:pt>
                <c:pt idx="3">
                  <c:v>24</c:v>
                </c:pt>
                <c:pt idx="4">
                  <c:v>29</c:v>
                </c:pt>
                <c:pt idx="5">
                  <c:v>17</c:v>
                </c:pt>
                <c:pt idx="6">
                  <c:v>3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DE-4EEA-9438-A65CCE0350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27"/>
        <c:axId val="48988911"/>
        <c:axId val="48978511"/>
      </c:barChart>
      <c:catAx>
        <c:axId val="489889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Grade Average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978511"/>
        <c:crosses val="autoZero"/>
        <c:auto val="1"/>
        <c:lblAlgn val="ctr"/>
        <c:lblOffset val="100"/>
        <c:noMultiLvlLbl val="0"/>
      </c:catAx>
      <c:valAx>
        <c:axId val="48978511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89889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Distribution</a:t>
            </a:r>
            <a:r>
              <a:rPr lang="en-US" baseline="0"/>
              <a:t> of MBA Grades</a:t>
            </a:r>
          </a:p>
          <a:p>
            <a:pPr>
              <a:defRPr/>
            </a:pPr>
            <a:r>
              <a:rPr lang="en-US" baseline="0"/>
              <a:t>X ~ N(80.17, 6.17)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'Normal Curve'!$H$5</c:f>
              <c:strCache>
                <c:ptCount val="1"/>
                <c:pt idx="0">
                  <c:v>Probability Density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'Normal Curve'!$G$6:$G$26</c:f>
              <c:numCache>
                <c:formatCode>General</c:formatCode>
                <c:ptCount val="21"/>
                <c:pt idx="0">
                  <c:v>60</c:v>
                </c:pt>
                <c:pt idx="1">
                  <c:v>62</c:v>
                </c:pt>
                <c:pt idx="2">
                  <c:v>64</c:v>
                </c:pt>
                <c:pt idx="3">
                  <c:v>66</c:v>
                </c:pt>
                <c:pt idx="4">
                  <c:v>68</c:v>
                </c:pt>
                <c:pt idx="5">
                  <c:v>70</c:v>
                </c:pt>
                <c:pt idx="6">
                  <c:v>72</c:v>
                </c:pt>
                <c:pt idx="7">
                  <c:v>74</c:v>
                </c:pt>
                <c:pt idx="8">
                  <c:v>76</c:v>
                </c:pt>
                <c:pt idx="9">
                  <c:v>78</c:v>
                </c:pt>
                <c:pt idx="10">
                  <c:v>80</c:v>
                </c:pt>
                <c:pt idx="11">
                  <c:v>82</c:v>
                </c:pt>
                <c:pt idx="12">
                  <c:v>84</c:v>
                </c:pt>
                <c:pt idx="13">
                  <c:v>86</c:v>
                </c:pt>
                <c:pt idx="14">
                  <c:v>88</c:v>
                </c:pt>
                <c:pt idx="15">
                  <c:v>90</c:v>
                </c:pt>
                <c:pt idx="16">
                  <c:v>92</c:v>
                </c:pt>
                <c:pt idx="17">
                  <c:v>94</c:v>
                </c:pt>
                <c:pt idx="18">
                  <c:v>96</c:v>
                </c:pt>
                <c:pt idx="19">
                  <c:v>98</c:v>
                </c:pt>
                <c:pt idx="20">
                  <c:v>100</c:v>
                </c:pt>
              </c:numCache>
            </c:numRef>
          </c:cat>
          <c:val>
            <c:numRef>
              <c:f>'Normal Curve'!$H$6:$H$26</c:f>
              <c:numCache>
                <c:formatCode>General</c:formatCode>
                <c:ptCount val="21"/>
                <c:pt idx="0">
                  <c:v>3.0952931395656784E-4</c:v>
                </c:pt>
                <c:pt idx="1">
                  <c:v>8.4716192775783749E-4</c:v>
                </c:pt>
                <c:pt idx="2">
                  <c:v>2.087421445520822E-3</c:v>
                </c:pt>
                <c:pt idx="3">
                  <c:v>4.6305536271465499E-3</c:v>
                </c:pt>
                <c:pt idx="4">
                  <c:v>9.2477219127595003E-3</c:v>
                </c:pt>
                <c:pt idx="5">
                  <c:v>1.6627067938365887E-2</c:v>
                </c:pt>
                <c:pt idx="6">
                  <c:v>2.6913838820218548E-2</c:v>
                </c:pt>
                <c:pt idx="7">
                  <c:v>3.922064118584874E-2</c:v>
                </c:pt>
                <c:pt idx="8">
                  <c:v>5.1455617885659118E-2</c:v>
                </c:pt>
                <c:pt idx="9">
                  <c:v>6.0775700353358199E-2</c:v>
                </c:pt>
                <c:pt idx="10">
                  <c:v>6.4625841766344283E-2</c:v>
                </c:pt>
                <c:pt idx="11">
                  <c:v>6.186735083523575E-2</c:v>
                </c:pt>
                <c:pt idx="12">
                  <c:v>5.332070624163418E-2</c:v>
                </c:pt>
                <c:pt idx="13">
                  <c:v>4.137226830550346E-2</c:v>
                </c:pt>
                <c:pt idx="14">
                  <c:v>2.8900265870792894E-2</c:v>
                </c:pt>
                <c:pt idx="15">
                  <c:v>1.817495774949713E-2</c:v>
                </c:pt>
                <c:pt idx="16">
                  <c:v>1.0290205502344866E-2</c:v>
                </c:pt>
                <c:pt idx="17">
                  <c:v>5.2450997543787847E-3</c:v>
                </c:pt>
                <c:pt idx="18">
                  <c:v>2.4069248056546818E-3</c:v>
                </c:pt>
                <c:pt idx="19">
                  <c:v>9.9437537201741604E-4</c:v>
                </c:pt>
                <c:pt idx="20">
                  <c:v>3.6984288004996362E-4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5-F775-D749-86AB-CB5C29B53CCB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'Normal Curve'!$G$6:$G$26</c:f>
              <c:numCache>
                <c:formatCode>General</c:formatCode>
                <c:ptCount val="21"/>
                <c:pt idx="0">
                  <c:v>60</c:v>
                </c:pt>
                <c:pt idx="1">
                  <c:v>62</c:v>
                </c:pt>
                <c:pt idx="2">
                  <c:v>64</c:v>
                </c:pt>
                <c:pt idx="3">
                  <c:v>66</c:v>
                </c:pt>
                <c:pt idx="4">
                  <c:v>68</c:v>
                </c:pt>
                <c:pt idx="5">
                  <c:v>70</c:v>
                </c:pt>
                <c:pt idx="6">
                  <c:v>72</c:v>
                </c:pt>
                <c:pt idx="7">
                  <c:v>74</c:v>
                </c:pt>
                <c:pt idx="8">
                  <c:v>76</c:v>
                </c:pt>
                <c:pt idx="9">
                  <c:v>78</c:v>
                </c:pt>
                <c:pt idx="10">
                  <c:v>80</c:v>
                </c:pt>
                <c:pt idx="11">
                  <c:v>82</c:v>
                </c:pt>
                <c:pt idx="12">
                  <c:v>84</c:v>
                </c:pt>
                <c:pt idx="13">
                  <c:v>86</c:v>
                </c:pt>
                <c:pt idx="14">
                  <c:v>88</c:v>
                </c:pt>
                <c:pt idx="15">
                  <c:v>90</c:v>
                </c:pt>
                <c:pt idx="16">
                  <c:v>92</c:v>
                </c:pt>
                <c:pt idx="17">
                  <c:v>94</c:v>
                </c:pt>
                <c:pt idx="18">
                  <c:v>96</c:v>
                </c:pt>
                <c:pt idx="19">
                  <c:v>98</c:v>
                </c:pt>
                <c:pt idx="20">
                  <c:v>100</c:v>
                </c:pt>
              </c:numCache>
            </c:numRef>
          </c:cat>
          <c:val>
            <c:numRef>
              <c:f>'Normal Curve'!$I$6:$I$26</c:f>
              <c:numCache>
                <c:formatCode>General</c:formatCode>
                <c:ptCount val="21"/>
                <c:pt idx="0">
                  <c:v>-100</c:v>
                </c:pt>
                <c:pt idx="1">
                  <c:v>-100</c:v>
                </c:pt>
                <c:pt idx="2">
                  <c:v>-100</c:v>
                </c:pt>
                <c:pt idx="3">
                  <c:v>-100</c:v>
                </c:pt>
                <c:pt idx="4">
                  <c:v>-100</c:v>
                </c:pt>
                <c:pt idx="5">
                  <c:v>-100</c:v>
                </c:pt>
                <c:pt idx="6">
                  <c:v>2.6913838820218548E-2</c:v>
                </c:pt>
                <c:pt idx="7">
                  <c:v>3.922064118584874E-2</c:v>
                </c:pt>
                <c:pt idx="8">
                  <c:v>5.1455617885659118E-2</c:v>
                </c:pt>
                <c:pt idx="9">
                  <c:v>6.0775700353358199E-2</c:v>
                </c:pt>
                <c:pt idx="10">
                  <c:v>6.4625841766344283E-2</c:v>
                </c:pt>
                <c:pt idx="11">
                  <c:v>6.186735083523575E-2</c:v>
                </c:pt>
                <c:pt idx="12">
                  <c:v>5.332070624163418E-2</c:v>
                </c:pt>
                <c:pt idx="13">
                  <c:v>4.137226830550346E-2</c:v>
                </c:pt>
                <c:pt idx="14">
                  <c:v>-100</c:v>
                </c:pt>
                <c:pt idx="15">
                  <c:v>-100</c:v>
                </c:pt>
                <c:pt idx="16">
                  <c:v>-100</c:v>
                </c:pt>
                <c:pt idx="17">
                  <c:v>-100</c:v>
                </c:pt>
                <c:pt idx="18">
                  <c:v>-100</c:v>
                </c:pt>
                <c:pt idx="19">
                  <c:v>-100</c:v>
                </c:pt>
                <c:pt idx="20">
                  <c:v>-100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F775-D749-86AB-CB5C29B53C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5832480"/>
        <c:axId val="320053120"/>
      </c:lineChart>
      <c:catAx>
        <c:axId val="5658324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 - MBA</a:t>
                </a:r>
                <a:r>
                  <a:rPr lang="en-US" baseline="0"/>
                  <a:t> GRADE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0053120"/>
        <c:crosses val="autoZero"/>
        <c:auto val="1"/>
        <c:lblAlgn val="ctr"/>
        <c:lblOffset val="100"/>
        <c:noMultiLvlLbl val="0"/>
      </c:catAx>
      <c:valAx>
        <c:axId val="320053120"/>
        <c:scaling>
          <c:orientation val="minMax"/>
          <c:min val="0"/>
        </c:scaling>
        <c:delete val="0"/>
        <c:axPos val="l"/>
        <c:numFmt formatCode="General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5832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Scatterplots!$C$5</c:f>
              <c:strCache>
                <c:ptCount val="1"/>
                <c:pt idx="0">
                  <c:v>MBA Grade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Scatterplots!$B$6:$B$100</c:f>
              <c:numCache>
                <c:formatCode>General</c:formatCode>
                <c:ptCount val="95"/>
                <c:pt idx="0">
                  <c:v>68.400000000000006</c:v>
                </c:pt>
                <c:pt idx="1">
                  <c:v>62.1</c:v>
                </c:pt>
                <c:pt idx="2">
                  <c:v>70.2</c:v>
                </c:pt>
                <c:pt idx="3">
                  <c:v>75.099999999999994</c:v>
                </c:pt>
                <c:pt idx="4">
                  <c:v>60.9</c:v>
                </c:pt>
                <c:pt idx="5">
                  <c:v>74.5</c:v>
                </c:pt>
                <c:pt idx="6">
                  <c:v>76.400000000000006</c:v>
                </c:pt>
                <c:pt idx="7">
                  <c:v>82.6</c:v>
                </c:pt>
                <c:pt idx="8">
                  <c:v>76.900000000000006</c:v>
                </c:pt>
                <c:pt idx="9">
                  <c:v>83.3</c:v>
                </c:pt>
                <c:pt idx="10">
                  <c:v>75.8</c:v>
                </c:pt>
                <c:pt idx="11">
                  <c:v>76</c:v>
                </c:pt>
                <c:pt idx="12">
                  <c:v>62.8</c:v>
                </c:pt>
                <c:pt idx="13">
                  <c:v>82.8</c:v>
                </c:pt>
                <c:pt idx="14">
                  <c:v>76</c:v>
                </c:pt>
                <c:pt idx="15">
                  <c:v>76.900000000000006</c:v>
                </c:pt>
                <c:pt idx="16">
                  <c:v>75.8</c:v>
                </c:pt>
                <c:pt idx="17">
                  <c:v>78</c:v>
                </c:pt>
                <c:pt idx="18">
                  <c:v>82.4</c:v>
                </c:pt>
                <c:pt idx="19">
                  <c:v>76.2</c:v>
                </c:pt>
                <c:pt idx="20">
                  <c:v>62.5</c:v>
                </c:pt>
                <c:pt idx="21">
                  <c:v>78</c:v>
                </c:pt>
                <c:pt idx="22">
                  <c:v>66.5</c:v>
                </c:pt>
                <c:pt idx="23">
                  <c:v>63.5</c:v>
                </c:pt>
                <c:pt idx="24">
                  <c:v>82.6</c:v>
                </c:pt>
                <c:pt idx="25">
                  <c:v>79.2</c:v>
                </c:pt>
                <c:pt idx="26">
                  <c:v>75</c:v>
                </c:pt>
                <c:pt idx="27">
                  <c:v>74.400000000000006</c:v>
                </c:pt>
                <c:pt idx="28">
                  <c:v>67.900000000000006</c:v>
                </c:pt>
                <c:pt idx="29">
                  <c:v>76.8</c:v>
                </c:pt>
                <c:pt idx="30">
                  <c:v>83</c:v>
                </c:pt>
                <c:pt idx="31">
                  <c:v>88.9</c:v>
                </c:pt>
                <c:pt idx="32">
                  <c:v>76.5</c:v>
                </c:pt>
                <c:pt idx="33">
                  <c:v>79.900000000000006</c:v>
                </c:pt>
                <c:pt idx="34">
                  <c:v>70.400000000000006</c:v>
                </c:pt>
                <c:pt idx="35">
                  <c:v>83.4</c:v>
                </c:pt>
                <c:pt idx="36">
                  <c:v>79.2</c:v>
                </c:pt>
                <c:pt idx="37">
                  <c:v>61.2</c:v>
                </c:pt>
                <c:pt idx="38">
                  <c:v>64</c:v>
                </c:pt>
                <c:pt idx="39">
                  <c:v>68</c:v>
                </c:pt>
                <c:pt idx="40">
                  <c:v>78.5</c:v>
                </c:pt>
                <c:pt idx="41">
                  <c:v>83</c:v>
                </c:pt>
                <c:pt idx="42">
                  <c:v>75.2</c:v>
                </c:pt>
                <c:pt idx="43">
                  <c:v>68.099999999999994</c:v>
                </c:pt>
                <c:pt idx="44">
                  <c:v>93.6</c:v>
                </c:pt>
                <c:pt idx="45">
                  <c:v>75.599999999999994</c:v>
                </c:pt>
                <c:pt idx="46">
                  <c:v>82.3</c:v>
                </c:pt>
                <c:pt idx="47">
                  <c:v>71.400000000000006</c:v>
                </c:pt>
                <c:pt idx="48">
                  <c:v>71.900000000000006</c:v>
                </c:pt>
                <c:pt idx="49">
                  <c:v>79.099999999999994</c:v>
                </c:pt>
                <c:pt idx="50">
                  <c:v>88.7</c:v>
                </c:pt>
                <c:pt idx="51">
                  <c:v>69.400000000000006</c:v>
                </c:pt>
                <c:pt idx="52">
                  <c:v>80.3</c:v>
                </c:pt>
                <c:pt idx="53">
                  <c:v>83</c:v>
                </c:pt>
                <c:pt idx="54">
                  <c:v>74.099999999999994</c:v>
                </c:pt>
                <c:pt idx="55">
                  <c:v>79.400000000000006</c:v>
                </c:pt>
                <c:pt idx="56">
                  <c:v>88.1</c:v>
                </c:pt>
                <c:pt idx="57">
                  <c:v>74.599999999999994</c:v>
                </c:pt>
                <c:pt idx="58">
                  <c:v>87.1</c:v>
                </c:pt>
                <c:pt idx="59">
                  <c:v>79.7</c:v>
                </c:pt>
                <c:pt idx="60">
                  <c:v>82.1</c:v>
                </c:pt>
                <c:pt idx="61">
                  <c:v>70.2</c:v>
                </c:pt>
                <c:pt idx="62">
                  <c:v>81.7</c:v>
                </c:pt>
                <c:pt idx="63">
                  <c:v>76.099999999999994</c:v>
                </c:pt>
                <c:pt idx="64">
                  <c:v>65.400000000000006</c:v>
                </c:pt>
                <c:pt idx="65">
                  <c:v>70.099999999999994</c:v>
                </c:pt>
                <c:pt idx="66">
                  <c:v>75.3</c:v>
                </c:pt>
                <c:pt idx="67">
                  <c:v>68.7</c:v>
                </c:pt>
                <c:pt idx="68">
                  <c:v>75.7</c:v>
                </c:pt>
                <c:pt idx="69">
                  <c:v>68.7</c:v>
                </c:pt>
                <c:pt idx="70">
                  <c:v>70.400000000000006</c:v>
                </c:pt>
                <c:pt idx="71">
                  <c:v>68.3</c:v>
                </c:pt>
                <c:pt idx="72">
                  <c:v>71.7</c:v>
                </c:pt>
                <c:pt idx="73">
                  <c:v>70.900000000000006</c:v>
                </c:pt>
                <c:pt idx="74">
                  <c:v>66.3</c:v>
                </c:pt>
                <c:pt idx="75">
                  <c:v>65.3</c:v>
                </c:pt>
                <c:pt idx="76">
                  <c:v>75.7</c:v>
                </c:pt>
                <c:pt idx="77">
                  <c:v>66</c:v>
                </c:pt>
                <c:pt idx="78">
                  <c:v>78.900000000000006</c:v>
                </c:pt>
                <c:pt idx="79">
                  <c:v>74</c:v>
                </c:pt>
                <c:pt idx="80">
                  <c:v>74.599999999999994</c:v>
                </c:pt>
                <c:pt idx="81">
                  <c:v>79.3</c:v>
                </c:pt>
                <c:pt idx="82">
                  <c:v>70.099999999999994</c:v>
                </c:pt>
                <c:pt idx="83">
                  <c:v>88.8</c:v>
                </c:pt>
                <c:pt idx="84">
                  <c:v>66</c:v>
                </c:pt>
                <c:pt idx="85">
                  <c:v>82.9</c:v>
                </c:pt>
                <c:pt idx="86">
                  <c:v>100</c:v>
                </c:pt>
                <c:pt idx="87">
                  <c:v>75.599999999999994</c:v>
                </c:pt>
                <c:pt idx="88">
                  <c:v>67.5</c:v>
                </c:pt>
                <c:pt idx="89">
                  <c:v>68.7</c:v>
                </c:pt>
                <c:pt idx="90">
                  <c:v>76</c:v>
                </c:pt>
                <c:pt idx="91">
                  <c:v>67.7</c:v>
                </c:pt>
                <c:pt idx="92">
                  <c:v>75.3</c:v>
                </c:pt>
                <c:pt idx="93">
                  <c:v>68.099999999999994</c:v>
                </c:pt>
                <c:pt idx="94">
                  <c:v>63.3</c:v>
                </c:pt>
              </c:numCache>
            </c:numRef>
          </c:xVal>
          <c:yVal>
            <c:numRef>
              <c:f>Scatterplots!$C$6:$C$100</c:f>
              <c:numCache>
                <c:formatCode>General</c:formatCode>
                <c:ptCount val="95"/>
                <c:pt idx="0">
                  <c:v>90.2</c:v>
                </c:pt>
                <c:pt idx="1">
                  <c:v>92.8</c:v>
                </c:pt>
                <c:pt idx="2">
                  <c:v>68.7</c:v>
                </c:pt>
                <c:pt idx="3">
                  <c:v>80.7</c:v>
                </c:pt>
                <c:pt idx="4">
                  <c:v>74.900000000000006</c:v>
                </c:pt>
                <c:pt idx="5">
                  <c:v>80.7</c:v>
                </c:pt>
                <c:pt idx="6">
                  <c:v>83.3</c:v>
                </c:pt>
                <c:pt idx="7">
                  <c:v>88.7</c:v>
                </c:pt>
                <c:pt idx="8">
                  <c:v>75.400000000000006</c:v>
                </c:pt>
                <c:pt idx="9">
                  <c:v>82.1</c:v>
                </c:pt>
                <c:pt idx="10">
                  <c:v>87.5</c:v>
                </c:pt>
                <c:pt idx="11">
                  <c:v>66.900000000000006</c:v>
                </c:pt>
                <c:pt idx="12">
                  <c:v>71.3</c:v>
                </c:pt>
                <c:pt idx="13">
                  <c:v>76.8</c:v>
                </c:pt>
                <c:pt idx="14">
                  <c:v>72.3</c:v>
                </c:pt>
                <c:pt idx="15">
                  <c:v>72.400000000000006</c:v>
                </c:pt>
                <c:pt idx="16">
                  <c:v>72</c:v>
                </c:pt>
                <c:pt idx="17">
                  <c:v>81</c:v>
                </c:pt>
                <c:pt idx="18">
                  <c:v>96.1</c:v>
                </c:pt>
                <c:pt idx="19">
                  <c:v>76.7</c:v>
                </c:pt>
                <c:pt idx="20">
                  <c:v>80.3</c:v>
                </c:pt>
                <c:pt idx="21">
                  <c:v>77.8</c:v>
                </c:pt>
                <c:pt idx="22">
                  <c:v>62.6</c:v>
                </c:pt>
                <c:pt idx="23">
                  <c:v>80.2</c:v>
                </c:pt>
                <c:pt idx="24">
                  <c:v>79.099999999999994</c:v>
                </c:pt>
                <c:pt idx="25">
                  <c:v>77.8</c:v>
                </c:pt>
                <c:pt idx="26">
                  <c:v>75.099999999999994</c:v>
                </c:pt>
                <c:pt idx="27">
                  <c:v>82.2</c:v>
                </c:pt>
                <c:pt idx="28">
                  <c:v>70.5</c:v>
                </c:pt>
                <c:pt idx="29">
                  <c:v>70.8</c:v>
                </c:pt>
                <c:pt idx="30">
                  <c:v>87.5</c:v>
                </c:pt>
                <c:pt idx="31">
                  <c:v>79.5</c:v>
                </c:pt>
                <c:pt idx="32">
                  <c:v>80.8</c:v>
                </c:pt>
                <c:pt idx="33">
                  <c:v>79.599999999999994</c:v>
                </c:pt>
                <c:pt idx="34">
                  <c:v>88.9</c:v>
                </c:pt>
                <c:pt idx="35">
                  <c:v>85.9</c:v>
                </c:pt>
                <c:pt idx="36">
                  <c:v>82.3</c:v>
                </c:pt>
                <c:pt idx="37">
                  <c:v>76.7</c:v>
                </c:pt>
                <c:pt idx="38">
                  <c:v>79.900000000000006</c:v>
                </c:pt>
                <c:pt idx="39">
                  <c:v>86.2</c:v>
                </c:pt>
                <c:pt idx="40">
                  <c:v>79.2</c:v>
                </c:pt>
                <c:pt idx="41">
                  <c:v>83.4</c:v>
                </c:pt>
                <c:pt idx="42">
                  <c:v>85.2</c:v>
                </c:pt>
                <c:pt idx="43">
                  <c:v>77.8</c:v>
                </c:pt>
                <c:pt idx="44">
                  <c:v>80.2</c:v>
                </c:pt>
                <c:pt idx="45">
                  <c:v>71</c:v>
                </c:pt>
                <c:pt idx="46">
                  <c:v>87.2</c:v>
                </c:pt>
                <c:pt idx="47">
                  <c:v>82.9</c:v>
                </c:pt>
                <c:pt idx="48">
                  <c:v>73.5</c:v>
                </c:pt>
                <c:pt idx="49">
                  <c:v>74.599999999999994</c:v>
                </c:pt>
                <c:pt idx="50">
                  <c:v>75.099999999999994</c:v>
                </c:pt>
                <c:pt idx="51">
                  <c:v>85.1</c:v>
                </c:pt>
                <c:pt idx="52">
                  <c:v>74.900000000000006</c:v>
                </c:pt>
                <c:pt idx="53">
                  <c:v>84.6</c:v>
                </c:pt>
                <c:pt idx="54">
                  <c:v>81.7</c:v>
                </c:pt>
                <c:pt idx="55">
                  <c:v>81.400000000000006</c:v>
                </c:pt>
                <c:pt idx="56">
                  <c:v>83.8</c:v>
                </c:pt>
                <c:pt idx="57">
                  <c:v>88.5</c:v>
                </c:pt>
                <c:pt idx="58">
                  <c:v>84.9</c:v>
                </c:pt>
                <c:pt idx="59">
                  <c:v>84.3</c:v>
                </c:pt>
                <c:pt idx="60">
                  <c:v>78.2</c:v>
                </c:pt>
                <c:pt idx="61">
                  <c:v>80</c:v>
                </c:pt>
                <c:pt idx="62">
                  <c:v>74.8</c:v>
                </c:pt>
                <c:pt idx="63">
                  <c:v>78.5</c:v>
                </c:pt>
                <c:pt idx="64">
                  <c:v>71.8</c:v>
                </c:pt>
                <c:pt idx="65">
                  <c:v>69.900000000000006</c:v>
                </c:pt>
                <c:pt idx="66">
                  <c:v>82.7</c:v>
                </c:pt>
                <c:pt idx="67">
                  <c:v>74</c:v>
                </c:pt>
                <c:pt idx="68">
                  <c:v>84</c:v>
                </c:pt>
                <c:pt idx="69">
                  <c:v>84.7</c:v>
                </c:pt>
                <c:pt idx="70">
                  <c:v>78.2</c:v>
                </c:pt>
                <c:pt idx="71">
                  <c:v>85</c:v>
                </c:pt>
                <c:pt idx="72">
                  <c:v>80.099999999999994</c:v>
                </c:pt>
                <c:pt idx="73">
                  <c:v>85.3</c:v>
                </c:pt>
                <c:pt idx="74">
                  <c:v>79.7</c:v>
                </c:pt>
                <c:pt idx="75">
                  <c:v>79.599999999999994</c:v>
                </c:pt>
                <c:pt idx="76">
                  <c:v>78.900000000000006</c:v>
                </c:pt>
                <c:pt idx="77">
                  <c:v>78.5</c:v>
                </c:pt>
                <c:pt idx="78">
                  <c:v>72</c:v>
                </c:pt>
                <c:pt idx="79">
                  <c:v>74.2</c:v>
                </c:pt>
                <c:pt idx="80">
                  <c:v>71.7</c:v>
                </c:pt>
                <c:pt idx="81">
                  <c:v>80.7</c:v>
                </c:pt>
                <c:pt idx="82">
                  <c:v>84.1</c:v>
                </c:pt>
                <c:pt idx="83">
                  <c:v>87.4</c:v>
                </c:pt>
                <c:pt idx="84">
                  <c:v>77.400000000000006</c:v>
                </c:pt>
                <c:pt idx="85">
                  <c:v>84.7</c:v>
                </c:pt>
                <c:pt idx="86">
                  <c:v>78.8</c:v>
                </c:pt>
                <c:pt idx="87">
                  <c:v>92.7</c:v>
                </c:pt>
                <c:pt idx="88">
                  <c:v>88.8</c:v>
                </c:pt>
                <c:pt idx="89">
                  <c:v>86.6</c:v>
                </c:pt>
                <c:pt idx="90">
                  <c:v>77.900000000000006</c:v>
                </c:pt>
                <c:pt idx="91">
                  <c:v>86.1</c:v>
                </c:pt>
                <c:pt idx="92">
                  <c:v>89.9</c:v>
                </c:pt>
                <c:pt idx="93">
                  <c:v>83.1</c:v>
                </c:pt>
                <c:pt idx="94">
                  <c:v>82.6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B27-1D4C-9148-AB45B0FC61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6586975"/>
        <c:axId val="1606588687"/>
      </c:scatterChart>
      <c:valAx>
        <c:axId val="1606586975"/>
        <c:scaling>
          <c:orientation val="minMax"/>
          <c:max val="100"/>
          <c:min val="6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Undergrad</a:t>
                </a:r>
                <a:r>
                  <a:rPr lang="en-US" b="1" baseline="0"/>
                  <a:t> Grade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6588687"/>
        <c:crosses val="autoZero"/>
        <c:crossBetween val="midCat"/>
      </c:valAx>
      <c:valAx>
        <c:axId val="1606588687"/>
        <c:scaling>
          <c:orientation val="minMax"/>
          <c:max val="100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MBA</a:t>
                </a:r>
                <a:r>
                  <a:rPr lang="en-US" b="1" baseline="0"/>
                  <a:t> Grade</a:t>
                </a:r>
                <a:endParaRPr lang="en-US" b="1"/>
              </a:p>
            </c:rich>
          </c:tx>
          <c:layout>
            <c:manualLayout>
              <c:xMode val="edge"/>
              <c:yMode val="edge"/>
              <c:x val="3.3333333333333333E-2"/>
              <c:y val="0.3003393846602507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65869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'Linear Relationships'!$F$5</c:f>
              <c:strCache>
                <c:ptCount val="1"/>
                <c:pt idx="0">
                  <c:v>Annual Salary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'Linear Relationships'!$C$6:$C$58</c:f>
              <c:numCache>
                <c:formatCode>General</c:formatCode>
                <c:ptCount val="53"/>
                <c:pt idx="0">
                  <c:v>90.2</c:v>
                </c:pt>
                <c:pt idx="1">
                  <c:v>68.7</c:v>
                </c:pt>
                <c:pt idx="2">
                  <c:v>83.3</c:v>
                </c:pt>
                <c:pt idx="3">
                  <c:v>88.7</c:v>
                </c:pt>
                <c:pt idx="4">
                  <c:v>75.400000000000006</c:v>
                </c:pt>
                <c:pt idx="5">
                  <c:v>82.1</c:v>
                </c:pt>
                <c:pt idx="6">
                  <c:v>66.900000000000006</c:v>
                </c:pt>
                <c:pt idx="7">
                  <c:v>76.8</c:v>
                </c:pt>
                <c:pt idx="8">
                  <c:v>72.3</c:v>
                </c:pt>
                <c:pt idx="9">
                  <c:v>72.400000000000006</c:v>
                </c:pt>
                <c:pt idx="10">
                  <c:v>81</c:v>
                </c:pt>
                <c:pt idx="11">
                  <c:v>77.8</c:v>
                </c:pt>
                <c:pt idx="12">
                  <c:v>79.099999999999994</c:v>
                </c:pt>
                <c:pt idx="13">
                  <c:v>77.8</c:v>
                </c:pt>
                <c:pt idx="14">
                  <c:v>75.099999999999994</c:v>
                </c:pt>
                <c:pt idx="15">
                  <c:v>70.8</c:v>
                </c:pt>
                <c:pt idx="16">
                  <c:v>79.599999999999994</c:v>
                </c:pt>
                <c:pt idx="17">
                  <c:v>85.9</c:v>
                </c:pt>
                <c:pt idx="18">
                  <c:v>82.3</c:v>
                </c:pt>
                <c:pt idx="19">
                  <c:v>79.2</c:v>
                </c:pt>
                <c:pt idx="20">
                  <c:v>83.4</c:v>
                </c:pt>
                <c:pt idx="21">
                  <c:v>85.2</c:v>
                </c:pt>
                <c:pt idx="22">
                  <c:v>80.2</c:v>
                </c:pt>
                <c:pt idx="23">
                  <c:v>87.2</c:v>
                </c:pt>
                <c:pt idx="24">
                  <c:v>73.5</c:v>
                </c:pt>
                <c:pt idx="25">
                  <c:v>74.599999999999994</c:v>
                </c:pt>
                <c:pt idx="26">
                  <c:v>75.099999999999994</c:v>
                </c:pt>
                <c:pt idx="27">
                  <c:v>74.900000000000006</c:v>
                </c:pt>
                <c:pt idx="28">
                  <c:v>84.6</c:v>
                </c:pt>
                <c:pt idx="29">
                  <c:v>81.7</c:v>
                </c:pt>
                <c:pt idx="30">
                  <c:v>81.400000000000006</c:v>
                </c:pt>
                <c:pt idx="31">
                  <c:v>83.8</c:v>
                </c:pt>
                <c:pt idx="32">
                  <c:v>88.5</c:v>
                </c:pt>
                <c:pt idx="33">
                  <c:v>84.9</c:v>
                </c:pt>
                <c:pt idx="34">
                  <c:v>84.3</c:v>
                </c:pt>
                <c:pt idx="35">
                  <c:v>78.2</c:v>
                </c:pt>
                <c:pt idx="36">
                  <c:v>74.8</c:v>
                </c:pt>
                <c:pt idx="37">
                  <c:v>78.5</c:v>
                </c:pt>
                <c:pt idx="38">
                  <c:v>82.7</c:v>
                </c:pt>
                <c:pt idx="39">
                  <c:v>84</c:v>
                </c:pt>
                <c:pt idx="40">
                  <c:v>78.2</c:v>
                </c:pt>
                <c:pt idx="41">
                  <c:v>79.7</c:v>
                </c:pt>
                <c:pt idx="42">
                  <c:v>78.5</c:v>
                </c:pt>
                <c:pt idx="43">
                  <c:v>72</c:v>
                </c:pt>
                <c:pt idx="44">
                  <c:v>80.7</c:v>
                </c:pt>
                <c:pt idx="45">
                  <c:v>87.4</c:v>
                </c:pt>
                <c:pt idx="46">
                  <c:v>77.400000000000006</c:v>
                </c:pt>
                <c:pt idx="47">
                  <c:v>84.7</c:v>
                </c:pt>
                <c:pt idx="48">
                  <c:v>78.8</c:v>
                </c:pt>
                <c:pt idx="49">
                  <c:v>88.8</c:v>
                </c:pt>
                <c:pt idx="50">
                  <c:v>77.900000000000006</c:v>
                </c:pt>
                <c:pt idx="51">
                  <c:v>86.1</c:v>
                </c:pt>
                <c:pt idx="52">
                  <c:v>83.1</c:v>
                </c:pt>
              </c:numCache>
            </c:numRef>
          </c:xVal>
          <c:yVal>
            <c:numRef>
              <c:f>'Linear Relationships'!$F$6:$F$58</c:f>
              <c:numCache>
                <c:formatCode>"$"#,##0_);[Red]\("$"#,##0\)</c:formatCode>
                <c:ptCount val="53"/>
                <c:pt idx="0">
                  <c:v>111000</c:v>
                </c:pt>
                <c:pt idx="1">
                  <c:v>107000</c:v>
                </c:pt>
                <c:pt idx="2">
                  <c:v>109000</c:v>
                </c:pt>
                <c:pt idx="3">
                  <c:v>148000</c:v>
                </c:pt>
                <c:pt idx="4">
                  <c:v>255500</c:v>
                </c:pt>
                <c:pt idx="5">
                  <c:v>103500</c:v>
                </c:pt>
                <c:pt idx="6">
                  <c:v>114500</c:v>
                </c:pt>
                <c:pt idx="7">
                  <c:v>124000</c:v>
                </c:pt>
                <c:pt idx="8">
                  <c:v>132500</c:v>
                </c:pt>
                <c:pt idx="9">
                  <c:v>99000</c:v>
                </c:pt>
                <c:pt idx="10">
                  <c:v>124000</c:v>
                </c:pt>
                <c:pt idx="11">
                  <c:v>82000</c:v>
                </c:pt>
                <c:pt idx="12">
                  <c:v>185000</c:v>
                </c:pt>
                <c:pt idx="13">
                  <c:v>89500</c:v>
                </c:pt>
                <c:pt idx="14">
                  <c:v>91500</c:v>
                </c:pt>
                <c:pt idx="15">
                  <c:v>113500</c:v>
                </c:pt>
                <c:pt idx="16">
                  <c:v>99000</c:v>
                </c:pt>
                <c:pt idx="17">
                  <c:v>75500</c:v>
                </c:pt>
                <c:pt idx="18">
                  <c:v>86000</c:v>
                </c:pt>
                <c:pt idx="19">
                  <c:v>156500</c:v>
                </c:pt>
                <c:pt idx="20">
                  <c:v>99500</c:v>
                </c:pt>
                <c:pt idx="21">
                  <c:v>148000</c:v>
                </c:pt>
                <c:pt idx="22">
                  <c:v>82000</c:v>
                </c:pt>
                <c:pt idx="23">
                  <c:v>103500</c:v>
                </c:pt>
                <c:pt idx="24">
                  <c:v>205500</c:v>
                </c:pt>
                <c:pt idx="25">
                  <c:v>103500</c:v>
                </c:pt>
                <c:pt idx="26">
                  <c:v>340000</c:v>
                </c:pt>
                <c:pt idx="27">
                  <c:v>103500</c:v>
                </c:pt>
                <c:pt idx="28">
                  <c:v>99500</c:v>
                </c:pt>
                <c:pt idx="29">
                  <c:v>103000</c:v>
                </c:pt>
                <c:pt idx="30">
                  <c:v>103500</c:v>
                </c:pt>
                <c:pt idx="31">
                  <c:v>165000</c:v>
                </c:pt>
                <c:pt idx="32">
                  <c:v>124500</c:v>
                </c:pt>
                <c:pt idx="33">
                  <c:v>103500</c:v>
                </c:pt>
                <c:pt idx="34">
                  <c:v>82500</c:v>
                </c:pt>
                <c:pt idx="35">
                  <c:v>93000</c:v>
                </c:pt>
                <c:pt idx="36">
                  <c:v>168000</c:v>
                </c:pt>
                <c:pt idx="37">
                  <c:v>96000</c:v>
                </c:pt>
                <c:pt idx="38">
                  <c:v>80000</c:v>
                </c:pt>
                <c:pt idx="39">
                  <c:v>124500</c:v>
                </c:pt>
                <c:pt idx="40">
                  <c:v>99000</c:v>
                </c:pt>
                <c:pt idx="41">
                  <c:v>124000</c:v>
                </c:pt>
                <c:pt idx="42">
                  <c:v>91500</c:v>
                </c:pt>
                <c:pt idx="43">
                  <c:v>144500</c:v>
                </c:pt>
                <c:pt idx="44">
                  <c:v>114500</c:v>
                </c:pt>
                <c:pt idx="45">
                  <c:v>104500</c:v>
                </c:pt>
                <c:pt idx="46">
                  <c:v>124000</c:v>
                </c:pt>
                <c:pt idx="47">
                  <c:v>113000</c:v>
                </c:pt>
                <c:pt idx="48">
                  <c:v>78000</c:v>
                </c:pt>
                <c:pt idx="49">
                  <c:v>109000</c:v>
                </c:pt>
                <c:pt idx="50">
                  <c:v>99500</c:v>
                </c:pt>
                <c:pt idx="51">
                  <c:v>107000</c:v>
                </c:pt>
                <c:pt idx="52">
                  <c:v>84000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4A5-EA48-A929-D5D8AAA43A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1830240"/>
        <c:axId val="511831952"/>
      </c:scatterChart>
      <c:valAx>
        <c:axId val="511830240"/>
        <c:scaling>
          <c:orientation val="minMax"/>
          <c:min val="6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MBA</a:t>
                </a:r>
                <a:r>
                  <a:rPr lang="en-US" baseline="0"/>
                  <a:t> Grade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1831952"/>
        <c:crosses val="autoZero"/>
        <c:crossBetween val="midCat"/>
      </c:valAx>
      <c:valAx>
        <c:axId val="511831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Annual</a:t>
                </a:r>
                <a:r>
                  <a:rPr lang="en-US" baseline="0"/>
                  <a:t> Salary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_);[Red]\(&quot;$&quot;#,##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18302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0"/>
              <a:t>Employability</a:t>
            </a:r>
            <a:r>
              <a:rPr lang="en-US" b="0" baseline="0"/>
              <a:t> Scores</a:t>
            </a:r>
            <a:endParaRPr lang="en-US" b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'Linear Regression'!$C$5</c:f>
              <c:strCache>
                <c:ptCount val="1"/>
                <c:pt idx="0">
                  <c:v>Employability (After)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alpha val="70000"/>
                </a:schemeClr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8.1177869467777899E-2"/>
                  <c:y val="0.444027777777777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'Linear Regression'!$B$6:$B$100</c:f>
              <c:numCache>
                <c:formatCode>General</c:formatCode>
                <c:ptCount val="95"/>
                <c:pt idx="0">
                  <c:v>252</c:v>
                </c:pt>
                <c:pt idx="1">
                  <c:v>423</c:v>
                </c:pt>
                <c:pt idx="2">
                  <c:v>101</c:v>
                </c:pt>
                <c:pt idx="3">
                  <c:v>288</c:v>
                </c:pt>
                <c:pt idx="4">
                  <c:v>248</c:v>
                </c:pt>
                <c:pt idx="5">
                  <c:v>145</c:v>
                </c:pt>
                <c:pt idx="6">
                  <c:v>401</c:v>
                </c:pt>
                <c:pt idx="7">
                  <c:v>287</c:v>
                </c:pt>
                <c:pt idx="8">
                  <c:v>275</c:v>
                </c:pt>
                <c:pt idx="9">
                  <c:v>254</c:v>
                </c:pt>
                <c:pt idx="10">
                  <c:v>182</c:v>
                </c:pt>
                <c:pt idx="11">
                  <c:v>117</c:v>
                </c:pt>
                <c:pt idx="12">
                  <c:v>130</c:v>
                </c:pt>
                <c:pt idx="13">
                  <c:v>219</c:v>
                </c:pt>
                <c:pt idx="14">
                  <c:v>152</c:v>
                </c:pt>
                <c:pt idx="15">
                  <c:v>228</c:v>
                </c:pt>
                <c:pt idx="16">
                  <c:v>62</c:v>
                </c:pt>
                <c:pt idx="17">
                  <c:v>393</c:v>
                </c:pt>
                <c:pt idx="18">
                  <c:v>277</c:v>
                </c:pt>
                <c:pt idx="19">
                  <c:v>206</c:v>
                </c:pt>
                <c:pt idx="20">
                  <c:v>229</c:v>
                </c:pt>
                <c:pt idx="21">
                  <c:v>182</c:v>
                </c:pt>
                <c:pt idx="22">
                  <c:v>98</c:v>
                </c:pt>
                <c:pt idx="23">
                  <c:v>125</c:v>
                </c:pt>
                <c:pt idx="24">
                  <c:v>164</c:v>
                </c:pt>
                <c:pt idx="25">
                  <c:v>186</c:v>
                </c:pt>
                <c:pt idx="26">
                  <c:v>235</c:v>
                </c:pt>
                <c:pt idx="27">
                  <c:v>184</c:v>
                </c:pt>
                <c:pt idx="28">
                  <c:v>76</c:v>
                </c:pt>
                <c:pt idx="29">
                  <c:v>126</c:v>
                </c:pt>
                <c:pt idx="30">
                  <c:v>183</c:v>
                </c:pt>
                <c:pt idx="31">
                  <c:v>242</c:v>
                </c:pt>
                <c:pt idx="32">
                  <c:v>207</c:v>
                </c:pt>
                <c:pt idx="33">
                  <c:v>181</c:v>
                </c:pt>
                <c:pt idx="34">
                  <c:v>239</c:v>
                </c:pt>
                <c:pt idx="35">
                  <c:v>216</c:v>
                </c:pt>
                <c:pt idx="36">
                  <c:v>289</c:v>
                </c:pt>
                <c:pt idx="37">
                  <c:v>213</c:v>
                </c:pt>
                <c:pt idx="38">
                  <c:v>209</c:v>
                </c:pt>
                <c:pt idx="39">
                  <c:v>376</c:v>
                </c:pt>
                <c:pt idx="40">
                  <c:v>332</c:v>
                </c:pt>
                <c:pt idx="41">
                  <c:v>249</c:v>
                </c:pt>
                <c:pt idx="42">
                  <c:v>228</c:v>
                </c:pt>
                <c:pt idx="43">
                  <c:v>124</c:v>
                </c:pt>
                <c:pt idx="44">
                  <c:v>194</c:v>
                </c:pt>
                <c:pt idx="45">
                  <c:v>157</c:v>
                </c:pt>
                <c:pt idx="46">
                  <c:v>402</c:v>
                </c:pt>
                <c:pt idx="47">
                  <c:v>323</c:v>
                </c:pt>
                <c:pt idx="48">
                  <c:v>181</c:v>
                </c:pt>
                <c:pt idx="49">
                  <c:v>157</c:v>
                </c:pt>
                <c:pt idx="50">
                  <c:v>266</c:v>
                </c:pt>
                <c:pt idx="51">
                  <c:v>268</c:v>
                </c:pt>
                <c:pt idx="52">
                  <c:v>167</c:v>
                </c:pt>
                <c:pt idx="53">
                  <c:v>342</c:v>
                </c:pt>
                <c:pt idx="54">
                  <c:v>349</c:v>
                </c:pt>
                <c:pt idx="55">
                  <c:v>340</c:v>
                </c:pt>
                <c:pt idx="56">
                  <c:v>227</c:v>
                </c:pt>
                <c:pt idx="57">
                  <c:v>409</c:v>
                </c:pt>
                <c:pt idx="58">
                  <c:v>400</c:v>
                </c:pt>
                <c:pt idx="59">
                  <c:v>374</c:v>
                </c:pt>
                <c:pt idx="60">
                  <c:v>255</c:v>
                </c:pt>
                <c:pt idx="61">
                  <c:v>146</c:v>
                </c:pt>
                <c:pt idx="62">
                  <c:v>248</c:v>
                </c:pt>
                <c:pt idx="63">
                  <c:v>198</c:v>
                </c:pt>
                <c:pt idx="64">
                  <c:v>210</c:v>
                </c:pt>
                <c:pt idx="65">
                  <c:v>107</c:v>
                </c:pt>
                <c:pt idx="66">
                  <c:v>239</c:v>
                </c:pt>
                <c:pt idx="67">
                  <c:v>287</c:v>
                </c:pt>
                <c:pt idx="68">
                  <c:v>340</c:v>
                </c:pt>
                <c:pt idx="69">
                  <c:v>155</c:v>
                </c:pt>
                <c:pt idx="70">
                  <c:v>263</c:v>
                </c:pt>
                <c:pt idx="71">
                  <c:v>265</c:v>
                </c:pt>
                <c:pt idx="72">
                  <c:v>249</c:v>
                </c:pt>
                <c:pt idx="73">
                  <c:v>377</c:v>
                </c:pt>
                <c:pt idx="74">
                  <c:v>301</c:v>
                </c:pt>
                <c:pt idx="75">
                  <c:v>242</c:v>
                </c:pt>
                <c:pt idx="76">
                  <c:v>211</c:v>
                </c:pt>
                <c:pt idx="77">
                  <c:v>160</c:v>
                </c:pt>
                <c:pt idx="78">
                  <c:v>218</c:v>
                </c:pt>
                <c:pt idx="79">
                  <c:v>133</c:v>
                </c:pt>
                <c:pt idx="80">
                  <c:v>122</c:v>
                </c:pt>
                <c:pt idx="81">
                  <c:v>236</c:v>
                </c:pt>
                <c:pt idx="82">
                  <c:v>143</c:v>
                </c:pt>
                <c:pt idx="83">
                  <c:v>354</c:v>
                </c:pt>
                <c:pt idx="84">
                  <c:v>214</c:v>
                </c:pt>
                <c:pt idx="85">
                  <c:v>225</c:v>
                </c:pt>
                <c:pt idx="86">
                  <c:v>261</c:v>
                </c:pt>
                <c:pt idx="87">
                  <c:v>277</c:v>
                </c:pt>
                <c:pt idx="88">
                  <c:v>282</c:v>
                </c:pt>
                <c:pt idx="89">
                  <c:v>322</c:v>
                </c:pt>
                <c:pt idx="90">
                  <c:v>326</c:v>
                </c:pt>
                <c:pt idx="91">
                  <c:v>421</c:v>
                </c:pt>
                <c:pt idx="92">
                  <c:v>368</c:v>
                </c:pt>
                <c:pt idx="93">
                  <c:v>279</c:v>
                </c:pt>
                <c:pt idx="94">
                  <c:v>268</c:v>
                </c:pt>
              </c:numCache>
            </c:numRef>
          </c:xVal>
          <c:yVal>
            <c:numRef>
              <c:f>'Linear Regression'!$C$6:$C$100</c:f>
              <c:numCache>
                <c:formatCode>General</c:formatCode>
                <c:ptCount val="95"/>
                <c:pt idx="0">
                  <c:v>276</c:v>
                </c:pt>
                <c:pt idx="1">
                  <c:v>410</c:v>
                </c:pt>
                <c:pt idx="2">
                  <c:v>119</c:v>
                </c:pt>
                <c:pt idx="3">
                  <c:v>334</c:v>
                </c:pt>
                <c:pt idx="4">
                  <c:v>252</c:v>
                </c:pt>
                <c:pt idx="5">
                  <c:v>209</c:v>
                </c:pt>
                <c:pt idx="6">
                  <c:v>462</c:v>
                </c:pt>
                <c:pt idx="7">
                  <c:v>342</c:v>
                </c:pt>
                <c:pt idx="8">
                  <c:v>347</c:v>
                </c:pt>
                <c:pt idx="9">
                  <c:v>313</c:v>
                </c:pt>
                <c:pt idx="10">
                  <c:v>232</c:v>
                </c:pt>
                <c:pt idx="11">
                  <c:v>163</c:v>
                </c:pt>
                <c:pt idx="12">
                  <c:v>119</c:v>
                </c:pt>
                <c:pt idx="13">
                  <c:v>304</c:v>
                </c:pt>
                <c:pt idx="14">
                  <c:v>211</c:v>
                </c:pt>
                <c:pt idx="15">
                  <c:v>286</c:v>
                </c:pt>
                <c:pt idx="16">
                  <c:v>122</c:v>
                </c:pt>
                <c:pt idx="17">
                  <c:v>443</c:v>
                </c:pt>
                <c:pt idx="18">
                  <c:v>366</c:v>
                </c:pt>
                <c:pt idx="19">
                  <c:v>244</c:v>
                </c:pt>
                <c:pt idx="20">
                  <c:v>241</c:v>
                </c:pt>
                <c:pt idx="21">
                  <c:v>237</c:v>
                </c:pt>
                <c:pt idx="22">
                  <c:v>122</c:v>
                </c:pt>
                <c:pt idx="23">
                  <c:v>129</c:v>
                </c:pt>
                <c:pt idx="24">
                  <c:v>236</c:v>
                </c:pt>
                <c:pt idx="25">
                  <c:v>251</c:v>
                </c:pt>
                <c:pt idx="26">
                  <c:v>283</c:v>
                </c:pt>
                <c:pt idx="27">
                  <c:v>225</c:v>
                </c:pt>
                <c:pt idx="28">
                  <c:v>102</c:v>
                </c:pt>
                <c:pt idx="29">
                  <c:v>180</c:v>
                </c:pt>
                <c:pt idx="30">
                  <c:v>247</c:v>
                </c:pt>
                <c:pt idx="31">
                  <c:v>343</c:v>
                </c:pt>
                <c:pt idx="32">
                  <c:v>283</c:v>
                </c:pt>
                <c:pt idx="33">
                  <c:v>253</c:v>
                </c:pt>
                <c:pt idx="34">
                  <c:v>263</c:v>
                </c:pt>
                <c:pt idx="35">
                  <c:v>291</c:v>
                </c:pt>
                <c:pt idx="36">
                  <c:v>368</c:v>
                </c:pt>
                <c:pt idx="37">
                  <c:v>206</c:v>
                </c:pt>
                <c:pt idx="38">
                  <c:v>231</c:v>
                </c:pt>
                <c:pt idx="39">
                  <c:v>389</c:v>
                </c:pt>
                <c:pt idx="40">
                  <c:v>396</c:v>
                </c:pt>
                <c:pt idx="41">
                  <c:v>339</c:v>
                </c:pt>
                <c:pt idx="42">
                  <c:v>286</c:v>
                </c:pt>
                <c:pt idx="43">
                  <c:v>146</c:v>
                </c:pt>
                <c:pt idx="44">
                  <c:v>315</c:v>
                </c:pt>
                <c:pt idx="45">
                  <c:v>183</c:v>
                </c:pt>
                <c:pt idx="46">
                  <c:v>481</c:v>
                </c:pt>
                <c:pt idx="47">
                  <c:v>349</c:v>
                </c:pt>
                <c:pt idx="48">
                  <c:v>225</c:v>
                </c:pt>
                <c:pt idx="49">
                  <c:v>217</c:v>
                </c:pt>
                <c:pt idx="50">
                  <c:v>353</c:v>
                </c:pt>
                <c:pt idx="51">
                  <c:v>314</c:v>
                </c:pt>
                <c:pt idx="52">
                  <c:v>247</c:v>
                </c:pt>
                <c:pt idx="53">
                  <c:v>410</c:v>
                </c:pt>
                <c:pt idx="54">
                  <c:v>395</c:v>
                </c:pt>
                <c:pt idx="55">
                  <c:v>416</c:v>
                </c:pt>
                <c:pt idx="56">
                  <c:v>342</c:v>
                </c:pt>
                <c:pt idx="57">
                  <c:v>446</c:v>
                </c:pt>
                <c:pt idx="58">
                  <c:v>477</c:v>
                </c:pt>
                <c:pt idx="59">
                  <c:v>444</c:v>
                </c:pt>
                <c:pt idx="60">
                  <c:v>351</c:v>
                </c:pt>
                <c:pt idx="61">
                  <c:v>165</c:v>
                </c:pt>
                <c:pt idx="62">
                  <c:v>317</c:v>
                </c:pt>
                <c:pt idx="63">
                  <c:v>250</c:v>
                </c:pt>
                <c:pt idx="64">
                  <c:v>217</c:v>
                </c:pt>
                <c:pt idx="65">
                  <c:v>138</c:v>
                </c:pt>
                <c:pt idx="66">
                  <c:v>302</c:v>
                </c:pt>
                <c:pt idx="67">
                  <c:v>311</c:v>
                </c:pt>
                <c:pt idx="68">
                  <c:v>373</c:v>
                </c:pt>
                <c:pt idx="69">
                  <c:v>196</c:v>
                </c:pt>
                <c:pt idx="70">
                  <c:v>306</c:v>
                </c:pt>
                <c:pt idx="71">
                  <c:v>302</c:v>
                </c:pt>
                <c:pt idx="72">
                  <c:v>278</c:v>
                </c:pt>
                <c:pt idx="73">
                  <c:v>429</c:v>
                </c:pt>
                <c:pt idx="74">
                  <c:v>338</c:v>
                </c:pt>
                <c:pt idx="75">
                  <c:v>261</c:v>
                </c:pt>
                <c:pt idx="76">
                  <c:v>256</c:v>
                </c:pt>
                <c:pt idx="77">
                  <c:v>183</c:v>
                </c:pt>
                <c:pt idx="78">
                  <c:v>274</c:v>
                </c:pt>
                <c:pt idx="79">
                  <c:v>182</c:v>
                </c:pt>
                <c:pt idx="80">
                  <c:v>183</c:v>
                </c:pt>
                <c:pt idx="81">
                  <c:v>309</c:v>
                </c:pt>
                <c:pt idx="82">
                  <c:v>178</c:v>
                </c:pt>
                <c:pt idx="83">
                  <c:v>458</c:v>
                </c:pt>
                <c:pt idx="84">
                  <c:v>234</c:v>
                </c:pt>
                <c:pt idx="85">
                  <c:v>306</c:v>
                </c:pt>
                <c:pt idx="86">
                  <c:v>400</c:v>
                </c:pt>
                <c:pt idx="87">
                  <c:v>337</c:v>
                </c:pt>
                <c:pt idx="88">
                  <c:v>325</c:v>
                </c:pt>
                <c:pt idx="89">
                  <c:v>329</c:v>
                </c:pt>
                <c:pt idx="90">
                  <c:v>369</c:v>
                </c:pt>
                <c:pt idx="91">
                  <c:v>457</c:v>
                </c:pt>
                <c:pt idx="92">
                  <c:v>421</c:v>
                </c:pt>
                <c:pt idx="93">
                  <c:v>282</c:v>
                </c:pt>
                <c:pt idx="94">
                  <c:v>256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436-4CD8-995C-FAD16089ED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6164800"/>
        <c:axId val="466153984"/>
      </c:scatterChart>
      <c:valAx>
        <c:axId val="466164800"/>
        <c:scaling>
          <c:orientation val="minMax"/>
          <c:max val="5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Before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6153984"/>
        <c:crosses val="autoZero"/>
        <c:crossBetween val="midCat"/>
      </c:valAx>
      <c:valAx>
        <c:axId val="466153984"/>
        <c:scaling>
          <c:orientation val="minMax"/>
          <c:max val="5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After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6164800"/>
        <c:crosses val="autoZero"/>
        <c:crossBetween val="midCat"/>
        <c:majorUnit val="10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0"/>
              <a:t>Employability</a:t>
            </a:r>
            <a:r>
              <a:rPr lang="en-US" b="0" baseline="0"/>
              <a:t> Scores</a:t>
            </a:r>
            <a:endParaRPr lang="en-US" b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Predictions!$C$5</c:f>
              <c:strCache>
                <c:ptCount val="1"/>
                <c:pt idx="0">
                  <c:v>Employability (After)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alpha val="70000"/>
                </a:schemeClr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1">
                    <a:lumMod val="75000"/>
                  </a:schemeClr>
                </a:solidFill>
                <a:prstDash val="solid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13745819358001662"/>
                  <c:y val="0.4764351851851851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Predictions!$B$6:$B$100</c:f>
              <c:numCache>
                <c:formatCode>General</c:formatCode>
                <c:ptCount val="95"/>
                <c:pt idx="0">
                  <c:v>252</c:v>
                </c:pt>
                <c:pt idx="1">
                  <c:v>423</c:v>
                </c:pt>
                <c:pt idx="2">
                  <c:v>101</c:v>
                </c:pt>
                <c:pt idx="3">
                  <c:v>288</c:v>
                </c:pt>
                <c:pt idx="4">
                  <c:v>248</c:v>
                </c:pt>
                <c:pt idx="5">
                  <c:v>145</c:v>
                </c:pt>
                <c:pt idx="6">
                  <c:v>401</c:v>
                </c:pt>
                <c:pt idx="7">
                  <c:v>287</c:v>
                </c:pt>
                <c:pt idx="8">
                  <c:v>275</c:v>
                </c:pt>
                <c:pt idx="9">
                  <c:v>254</c:v>
                </c:pt>
                <c:pt idx="10">
                  <c:v>182</c:v>
                </c:pt>
                <c:pt idx="11">
                  <c:v>117</c:v>
                </c:pt>
                <c:pt idx="12">
                  <c:v>130</c:v>
                </c:pt>
                <c:pt idx="13">
                  <c:v>219</c:v>
                </c:pt>
                <c:pt idx="14">
                  <c:v>152</c:v>
                </c:pt>
                <c:pt idx="15">
                  <c:v>228</c:v>
                </c:pt>
                <c:pt idx="16">
                  <c:v>62</c:v>
                </c:pt>
                <c:pt idx="17">
                  <c:v>393</c:v>
                </c:pt>
                <c:pt idx="18">
                  <c:v>277</c:v>
                </c:pt>
                <c:pt idx="19">
                  <c:v>206</c:v>
                </c:pt>
                <c:pt idx="20">
                  <c:v>229</c:v>
                </c:pt>
                <c:pt idx="21">
                  <c:v>182</c:v>
                </c:pt>
                <c:pt idx="22">
                  <c:v>98</c:v>
                </c:pt>
                <c:pt idx="23">
                  <c:v>125</c:v>
                </c:pt>
                <c:pt idx="24">
                  <c:v>164</c:v>
                </c:pt>
                <c:pt idx="25">
                  <c:v>186</c:v>
                </c:pt>
                <c:pt idx="26">
                  <c:v>235</c:v>
                </c:pt>
                <c:pt idx="27">
                  <c:v>184</c:v>
                </c:pt>
                <c:pt idx="28">
                  <c:v>76</c:v>
                </c:pt>
                <c:pt idx="29">
                  <c:v>126</c:v>
                </c:pt>
                <c:pt idx="30">
                  <c:v>183</c:v>
                </c:pt>
                <c:pt idx="31">
                  <c:v>242</c:v>
                </c:pt>
                <c:pt idx="32">
                  <c:v>207</c:v>
                </c:pt>
                <c:pt idx="33">
                  <c:v>181</c:v>
                </c:pt>
                <c:pt idx="34">
                  <c:v>239</c:v>
                </c:pt>
                <c:pt idx="35">
                  <c:v>216</c:v>
                </c:pt>
                <c:pt idx="36">
                  <c:v>289</c:v>
                </c:pt>
                <c:pt idx="37">
                  <c:v>213</c:v>
                </c:pt>
                <c:pt idx="38">
                  <c:v>209</c:v>
                </c:pt>
                <c:pt idx="39">
                  <c:v>376</c:v>
                </c:pt>
                <c:pt idx="40">
                  <c:v>332</c:v>
                </c:pt>
                <c:pt idx="41">
                  <c:v>249</c:v>
                </c:pt>
                <c:pt idx="42">
                  <c:v>228</c:v>
                </c:pt>
                <c:pt idx="43">
                  <c:v>124</c:v>
                </c:pt>
                <c:pt idx="44">
                  <c:v>194</c:v>
                </c:pt>
                <c:pt idx="45">
                  <c:v>157</c:v>
                </c:pt>
                <c:pt idx="46">
                  <c:v>402</c:v>
                </c:pt>
                <c:pt idx="47">
                  <c:v>323</c:v>
                </c:pt>
                <c:pt idx="48">
                  <c:v>181</c:v>
                </c:pt>
                <c:pt idx="49">
                  <c:v>157</c:v>
                </c:pt>
                <c:pt idx="50">
                  <c:v>266</c:v>
                </c:pt>
                <c:pt idx="51">
                  <c:v>268</c:v>
                </c:pt>
                <c:pt idx="52">
                  <c:v>167</c:v>
                </c:pt>
                <c:pt idx="53">
                  <c:v>342</c:v>
                </c:pt>
                <c:pt idx="54">
                  <c:v>349</c:v>
                </c:pt>
                <c:pt idx="55">
                  <c:v>340</c:v>
                </c:pt>
                <c:pt idx="56">
                  <c:v>227</c:v>
                </c:pt>
                <c:pt idx="57">
                  <c:v>409</c:v>
                </c:pt>
                <c:pt idx="58">
                  <c:v>400</c:v>
                </c:pt>
                <c:pt idx="59">
                  <c:v>374</c:v>
                </c:pt>
                <c:pt idx="60">
                  <c:v>255</c:v>
                </c:pt>
                <c:pt idx="61">
                  <c:v>146</c:v>
                </c:pt>
                <c:pt idx="62">
                  <c:v>248</c:v>
                </c:pt>
                <c:pt idx="63">
                  <c:v>198</c:v>
                </c:pt>
                <c:pt idx="64">
                  <c:v>210</c:v>
                </c:pt>
                <c:pt idx="65">
                  <c:v>107</c:v>
                </c:pt>
                <c:pt idx="66">
                  <c:v>239</c:v>
                </c:pt>
                <c:pt idx="67">
                  <c:v>287</c:v>
                </c:pt>
                <c:pt idx="68">
                  <c:v>340</c:v>
                </c:pt>
                <c:pt idx="69">
                  <c:v>155</c:v>
                </c:pt>
                <c:pt idx="70">
                  <c:v>263</c:v>
                </c:pt>
                <c:pt idx="71">
                  <c:v>265</c:v>
                </c:pt>
                <c:pt idx="72">
                  <c:v>249</c:v>
                </c:pt>
                <c:pt idx="73">
                  <c:v>377</c:v>
                </c:pt>
                <c:pt idx="74">
                  <c:v>301</c:v>
                </c:pt>
                <c:pt idx="75">
                  <c:v>242</c:v>
                </c:pt>
                <c:pt idx="76">
                  <c:v>211</c:v>
                </c:pt>
                <c:pt idx="77">
                  <c:v>160</c:v>
                </c:pt>
                <c:pt idx="78">
                  <c:v>218</c:v>
                </c:pt>
                <c:pt idx="79">
                  <c:v>133</c:v>
                </c:pt>
                <c:pt idx="80">
                  <c:v>122</c:v>
                </c:pt>
                <c:pt idx="81">
                  <c:v>236</c:v>
                </c:pt>
                <c:pt idx="82">
                  <c:v>143</c:v>
                </c:pt>
                <c:pt idx="83">
                  <c:v>354</c:v>
                </c:pt>
                <c:pt idx="84">
                  <c:v>214</c:v>
                </c:pt>
                <c:pt idx="85">
                  <c:v>225</c:v>
                </c:pt>
                <c:pt idx="86">
                  <c:v>261</c:v>
                </c:pt>
                <c:pt idx="87">
                  <c:v>277</c:v>
                </c:pt>
                <c:pt idx="88">
                  <c:v>282</c:v>
                </c:pt>
                <c:pt idx="89">
                  <c:v>322</c:v>
                </c:pt>
                <c:pt idx="90">
                  <c:v>326</c:v>
                </c:pt>
                <c:pt idx="91">
                  <c:v>421</c:v>
                </c:pt>
                <c:pt idx="92">
                  <c:v>368</c:v>
                </c:pt>
                <c:pt idx="93">
                  <c:v>279</c:v>
                </c:pt>
                <c:pt idx="94">
                  <c:v>268</c:v>
                </c:pt>
              </c:numCache>
            </c:numRef>
          </c:xVal>
          <c:yVal>
            <c:numRef>
              <c:f>Predictions!$C$6:$C$100</c:f>
              <c:numCache>
                <c:formatCode>General</c:formatCode>
                <c:ptCount val="95"/>
                <c:pt idx="0">
                  <c:v>276</c:v>
                </c:pt>
                <c:pt idx="1">
                  <c:v>410</c:v>
                </c:pt>
                <c:pt idx="2">
                  <c:v>119</c:v>
                </c:pt>
                <c:pt idx="3">
                  <c:v>334</c:v>
                </c:pt>
                <c:pt idx="4">
                  <c:v>252</c:v>
                </c:pt>
                <c:pt idx="5">
                  <c:v>209</c:v>
                </c:pt>
                <c:pt idx="6">
                  <c:v>462</c:v>
                </c:pt>
                <c:pt idx="7">
                  <c:v>342</c:v>
                </c:pt>
                <c:pt idx="8">
                  <c:v>347</c:v>
                </c:pt>
                <c:pt idx="9">
                  <c:v>313</c:v>
                </c:pt>
                <c:pt idx="10">
                  <c:v>232</c:v>
                </c:pt>
                <c:pt idx="11">
                  <c:v>163</c:v>
                </c:pt>
                <c:pt idx="12">
                  <c:v>119</c:v>
                </c:pt>
                <c:pt idx="13">
                  <c:v>304</c:v>
                </c:pt>
                <c:pt idx="14">
                  <c:v>211</c:v>
                </c:pt>
                <c:pt idx="15">
                  <c:v>286</c:v>
                </c:pt>
                <c:pt idx="16">
                  <c:v>122</c:v>
                </c:pt>
                <c:pt idx="17">
                  <c:v>443</c:v>
                </c:pt>
                <c:pt idx="18">
                  <c:v>366</c:v>
                </c:pt>
                <c:pt idx="19">
                  <c:v>244</c:v>
                </c:pt>
                <c:pt idx="20">
                  <c:v>241</c:v>
                </c:pt>
                <c:pt idx="21">
                  <c:v>237</c:v>
                </c:pt>
                <c:pt idx="22">
                  <c:v>122</c:v>
                </c:pt>
                <c:pt idx="23">
                  <c:v>129</c:v>
                </c:pt>
                <c:pt idx="24">
                  <c:v>236</c:v>
                </c:pt>
                <c:pt idx="25">
                  <c:v>251</c:v>
                </c:pt>
                <c:pt idx="26">
                  <c:v>283</c:v>
                </c:pt>
                <c:pt idx="27">
                  <c:v>225</c:v>
                </c:pt>
                <c:pt idx="28">
                  <c:v>102</c:v>
                </c:pt>
                <c:pt idx="29">
                  <c:v>180</c:v>
                </c:pt>
                <c:pt idx="30">
                  <c:v>247</c:v>
                </c:pt>
                <c:pt idx="31">
                  <c:v>343</c:v>
                </c:pt>
                <c:pt idx="32">
                  <c:v>283</c:v>
                </c:pt>
                <c:pt idx="33">
                  <c:v>253</c:v>
                </c:pt>
                <c:pt idx="34">
                  <c:v>263</c:v>
                </c:pt>
                <c:pt idx="35">
                  <c:v>291</c:v>
                </c:pt>
                <c:pt idx="36">
                  <c:v>368</c:v>
                </c:pt>
                <c:pt idx="37">
                  <c:v>206</c:v>
                </c:pt>
                <c:pt idx="38">
                  <c:v>231</c:v>
                </c:pt>
                <c:pt idx="39">
                  <c:v>389</c:v>
                </c:pt>
                <c:pt idx="40">
                  <c:v>396</c:v>
                </c:pt>
                <c:pt idx="41">
                  <c:v>339</c:v>
                </c:pt>
                <c:pt idx="42">
                  <c:v>286</c:v>
                </c:pt>
                <c:pt idx="43">
                  <c:v>146</c:v>
                </c:pt>
                <c:pt idx="44">
                  <c:v>315</c:v>
                </c:pt>
                <c:pt idx="45">
                  <c:v>183</c:v>
                </c:pt>
                <c:pt idx="46">
                  <c:v>481</c:v>
                </c:pt>
                <c:pt idx="47">
                  <c:v>349</c:v>
                </c:pt>
                <c:pt idx="48">
                  <c:v>225</c:v>
                </c:pt>
                <c:pt idx="49">
                  <c:v>217</c:v>
                </c:pt>
                <c:pt idx="50">
                  <c:v>353</c:v>
                </c:pt>
                <c:pt idx="51">
                  <c:v>314</c:v>
                </c:pt>
                <c:pt idx="52">
                  <c:v>247</c:v>
                </c:pt>
                <c:pt idx="53">
                  <c:v>410</c:v>
                </c:pt>
                <c:pt idx="54">
                  <c:v>395</c:v>
                </c:pt>
                <c:pt idx="55">
                  <c:v>416</c:v>
                </c:pt>
                <c:pt idx="56">
                  <c:v>342</c:v>
                </c:pt>
                <c:pt idx="57">
                  <c:v>446</c:v>
                </c:pt>
                <c:pt idx="58">
                  <c:v>477</c:v>
                </c:pt>
                <c:pt idx="59">
                  <c:v>444</c:v>
                </c:pt>
                <c:pt idx="60">
                  <c:v>351</c:v>
                </c:pt>
                <c:pt idx="61">
                  <c:v>165</c:v>
                </c:pt>
                <c:pt idx="62">
                  <c:v>317</c:v>
                </c:pt>
                <c:pt idx="63">
                  <c:v>250</c:v>
                </c:pt>
                <c:pt idx="64">
                  <c:v>217</c:v>
                </c:pt>
                <c:pt idx="65">
                  <c:v>138</c:v>
                </c:pt>
                <c:pt idx="66">
                  <c:v>302</c:v>
                </c:pt>
                <c:pt idx="67">
                  <c:v>311</c:v>
                </c:pt>
                <c:pt idx="68">
                  <c:v>373</c:v>
                </c:pt>
                <c:pt idx="69">
                  <c:v>196</c:v>
                </c:pt>
                <c:pt idx="70">
                  <c:v>306</c:v>
                </c:pt>
                <c:pt idx="71">
                  <c:v>302</c:v>
                </c:pt>
                <c:pt idx="72">
                  <c:v>278</c:v>
                </c:pt>
                <c:pt idx="73">
                  <c:v>429</c:v>
                </c:pt>
                <c:pt idx="74">
                  <c:v>338</c:v>
                </c:pt>
                <c:pt idx="75">
                  <c:v>261</c:v>
                </c:pt>
                <c:pt idx="76">
                  <c:v>256</c:v>
                </c:pt>
                <c:pt idx="77">
                  <c:v>183</c:v>
                </c:pt>
                <c:pt idx="78">
                  <c:v>274</c:v>
                </c:pt>
                <c:pt idx="79">
                  <c:v>182</c:v>
                </c:pt>
                <c:pt idx="80">
                  <c:v>183</c:v>
                </c:pt>
                <c:pt idx="81">
                  <c:v>309</c:v>
                </c:pt>
                <c:pt idx="82">
                  <c:v>178</c:v>
                </c:pt>
                <c:pt idx="83">
                  <c:v>458</c:v>
                </c:pt>
                <c:pt idx="84">
                  <c:v>234</c:v>
                </c:pt>
                <c:pt idx="85">
                  <c:v>306</c:v>
                </c:pt>
                <c:pt idx="86">
                  <c:v>400</c:v>
                </c:pt>
                <c:pt idx="87">
                  <c:v>337</c:v>
                </c:pt>
                <c:pt idx="88">
                  <c:v>325</c:v>
                </c:pt>
                <c:pt idx="89">
                  <c:v>329</c:v>
                </c:pt>
                <c:pt idx="90">
                  <c:v>369</c:v>
                </c:pt>
                <c:pt idx="91">
                  <c:v>457</c:v>
                </c:pt>
                <c:pt idx="92">
                  <c:v>421</c:v>
                </c:pt>
                <c:pt idx="93">
                  <c:v>282</c:v>
                </c:pt>
                <c:pt idx="94">
                  <c:v>256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E3A-4B83-A89A-08B220C80A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6164800"/>
        <c:axId val="466153984"/>
      </c:scatterChart>
      <c:valAx>
        <c:axId val="466164800"/>
        <c:scaling>
          <c:orientation val="minMax"/>
          <c:max val="5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Before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6153984"/>
        <c:crosses val="autoZero"/>
        <c:crossBetween val="midCat"/>
      </c:valAx>
      <c:valAx>
        <c:axId val="466153984"/>
        <c:scaling>
          <c:orientation val="minMax"/>
          <c:max val="5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After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6164800"/>
        <c:crosses val="autoZero"/>
        <c:crossBetween val="midCat"/>
        <c:majorUnit val="10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'Linear Regression Model'!$G$5</c:f>
              <c:strCache>
                <c:ptCount val="1"/>
                <c:pt idx="0">
                  <c:v>Employability Improvement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4.6388888888888886E-3"/>
                  <c:y val="0.606481481481481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'Linear Regression Model'!$B$6:$B$100</c:f>
              <c:numCache>
                <c:formatCode>General</c:formatCode>
                <c:ptCount val="95"/>
                <c:pt idx="0">
                  <c:v>68.400000000000006</c:v>
                </c:pt>
                <c:pt idx="1">
                  <c:v>62.1</c:v>
                </c:pt>
                <c:pt idx="2">
                  <c:v>70.2</c:v>
                </c:pt>
                <c:pt idx="3">
                  <c:v>75.099999999999994</c:v>
                </c:pt>
                <c:pt idx="4">
                  <c:v>60.9</c:v>
                </c:pt>
                <c:pt idx="5">
                  <c:v>74.5</c:v>
                </c:pt>
                <c:pt idx="6">
                  <c:v>76.400000000000006</c:v>
                </c:pt>
                <c:pt idx="7">
                  <c:v>82.6</c:v>
                </c:pt>
                <c:pt idx="8">
                  <c:v>76.900000000000006</c:v>
                </c:pt>
                <c:pt idx="9">
                  <c:v>83.3</c:v>
                </c:pt>
                <c:pt idx="10">
                  <c:v>75.8</c:v>
                </c:pt>
                <c:pt idx="11">
                  <c:v>76</c:v>
                </c:pt>
                <c:pt idx="12">
                  <c:v>62.8</c:v>
                </c:pt>
                <c:pt idx="13">
                  <c:v>82.8</c:v>
                </c:pt>
                <c:pt idx="14">
                  <c:v>76</c:v>
                </c:pt>
                <c:pt idx="15">
                  <c:v>76.900000000000006</c:v>
                </c:pt>
                <c:pt idx="16">
                  <c:v>75.8</c:v>
                </c:pt>
                <c:pt idx="17">
                  <c:v>78</c:v>
                </c:pt>
                <c:pt idx="18">
                  <c:v>82.4</c:v>
                </c:pt>
                <c:pt idx="19">
                  <c:v>76.2</c:v>
                </c:pt>
                <c:pt idx="20">
                  <c:v>62.5</c:v>
                </c:pt>
                <c:pt idx="21">
                  <c:v>78</c:v>
                </c:pt>
                <c:pt idx="22">
                  <c:v>66.5</c:v>
                </c:pt>
                <c:pt idx="23">
                  <c:v>63.5</c:v>
                </c:pt>
                <c:pt idx="24">
                  <c:v>82.6</c:v>
                </c:pt>
                <c:pt idx="25">
                  <c:v>79.2</c:v>
                </c:pt>
                <c:pt idx="26">
                  <c:v>75</c:v>
                </c:pt>
                <c:pt idx="27">
                  <c:v>74.400000000000006</c:v>
                </c:pt>
                <c:pt idx="28">
                  <c:v>67.900000000000006</c:v>
                </c:pt>
                <c:pt idx="29">
                  <c:v>76.8</c:v>
                </c:pt>
                <c:pt idx="30">
                  <c:v>83</c:v>
                </c:pt>
                <c:pt idx="31">
                  <c:v>88.9</c:v>
                </c:pt>
                <c:pt idx="32">
                  <c:v>76.5</c:v>
                </c:pt>
                <c:pt idx="33">
                  <c:v>79.900000000000006</c:v>
                </c:pt>
                <c:pt idx="34">
                  <c:v>70.400000000000006</c:v>
                </c:pt>
                <c:pt idx="35">
                  <c:v>83.4</c:v>
                </c:pt>
                <c:pt idx="36">
                  <c:v>79.2</c:v>
                </c:pt>
                <c:pt idx="37">
                  <c:v>61.2</c:v>
                </c:pt>
                <c:pt idx="38">
                  <c:v>64</c:v>
                </c:pt>
                <c:pt idx="39">
                  <c:v>68</c:v>
                </c:pt>
                <c:pt idx="40">
                  <c:v>78.5</c:v>
                </c:pt>
                <c:pt idx="41">
                  <c:v>83</c:v>
                </c:pt>
                <c:pt idx="42">
                  <c:v>75.2</c:v>
                </c:pt>
                <c:pt idx="43">
                  <c:v>68.099999999999994</c:v>
                </c:pt>
                <c:pt idx="44">
                  <c:v>93.6</c:v>
                </c:pt>
                <c:pt idx="45">
                  <c:v>75.599999999999994</c:v>
                </c:pt>
                <c:pt idx="46">
                  <c:v>82.3</c:v>
                </c:pt>
                <c:pt idx="47">
                  <c:v>71.400000000000006</c:v>
                </c:pt>
                <c:pt idx="48">
                  <c:v>71.900000000000006</c:v>
                </c:pt>
                <c:pt idx="49">
                  <c:v>79.099999999999994</c:v>
                </c:pt>
                <c:pt idx="50">
                  <c:v>88.7</c:v>
                </c:pt>
                <c:pt idx="51">
                  <c:v>69.400000000000006</c:v>
                </c:pt>
                <c:pt idx="52">
                  <c:v>80.3</c:v>
                </c:pt>
                <c:pt idx="53">
                  <c:v>83</c:v>
                </c:pt>
                <c:pt idx="54">
                  <c:v>74.099999999999994</c:v>
                </c:pt>
                <c:pt idx="55">
                  <c:v>79.400000000000006</c:v>
                </c:pt>
                <c:pt idx="56">
                  <c:v>88.1</c:v>
                </c:pt>
                <c:pt idx="57">
                  <c:v>74.599999999999994</c:v>
                </c:pt>
                <c:pt idx="58">
                  <c:v>87.1</c:v>
                </c:pt>
                <c:pt idx="59">
                  <c:v>79.7</c:v>
                </c:pt>
                <c:pt idx="60">
                  <c:v>82.1</c:v>
                </c:pt>
                <c:pt idx="61">
                  <c:v>70.2</c:v>
                </c:pt>
                <c:pt idx="62">
                  <c:v>81.7</c:v>
                </c:pt>
                <c:pt idx="63">
                  <c:v>76.099999999999994</c:v>
                </c:pt>
                <c:pt idx="64">
                  <c:v>65.400000000000006</c:v>
                </c:pt>
                <c:pt idx="65">
                  <c:v>70.099999999999994</c:v>
                </c:pt>
                <c:pt idx="66">
                  <c:v>75.3</c:v>
                </c:pt>
                <c:pt idx="67">
                  <c:v>68.7</c:v>
                </c:pt>
                <c:pt idx="68">
                  <c:v>75.7</c:v>
                </c:pt>
                <c:pt idx="69">
                  <c:v>68.7</c:v>
                </c:pt>
                <c:pt idx="70">
                  <c:v>70.400000000000006</c:v>
                </c:pt>
                <c:pt idx="71">
                  <c:v>68.3</c:v>
                </c:pt>
                <c:pt idx="72">
                  <c:v>71.7</c:v>
                </c:pt>
                <c:pt idx="73">
                  <c:v>70.900000000000006</c:v>
                </c:pt>
                <c:pt idx="74">
                  <c:v>66.3</c:v>
                </c:pt>
                <c:pt idx="75">
                  <c:v>65.3</c:v>
                </c:pt>
                <c:pt idx="76">
                  <c:v>75.7</c:v>
                </c:pt>
                <c:pt idx="77">
                  <c:v>66</c:v>
                </c:pt>
                <c:pt idx="78">
                  <c:v>78.900000000000006</c:v>
                </c:pt>
                <c:pt idx="79">
                  <c:v>74</c:v>
                </c:pt>
                <c:pt idx="80">
                  <c:v>74.599999999999994</c:v>
                </c:pt>
                <c:pt idx="81">
                  <c:v>79.3</c:v>
                </c:pt>
                <c:pt idx="82">
                  <c:v>70.099999999999994</c:v>
                </c:pt>
                <c:pt idx="83">
                  <c:v>88.8</c:v>
                </c:pt>
                <c:pt idx="84">
                  <c:v>66</c:v>
                </c:pt>
                <c:pt idx="85">
                  <c:v>82.9</c:v>
                </c:pt>
                <c:pt idx="86">
                  <c:v>100</c:v>
                </c:pt>
                <c:pt idx="87">
                  <c:v>75.599999999999994</c:v>
                </c:pt>
                <c:pt idx="88">
                  <c:v>67.5</c:v>
                </c:pt>
                <c:pt idx="89">
                  <c:v>68.7</c:v>
                </c:pt>
                <c:pt idx="90">
                  <c:v>76</c:v>
                </c:pt>
                <c:pt idx="91">
                  <c:v>67.7</c:v>
                </c:pt>
                <c:pt idx="92">
                  <c:v>75.3</c:v>
                </c:pt>
                <c:pt idx="93">
                  <c:v>68.099999999999994</c:v>
                </c:pt>
                <c:pt idx="94">
                  <c:v>63.3</c:v>
                </c:pt>
              </c:numCache>
            </c:numRef>
          </c:xVal>
          <c:yVal>
            <c:numRef>
              <c:f>'Linear Regression Model'!$G$6:$G$100</c:f>
              <c:numCache>
                <c:formatCode>General</c:formatCode>
                <c:ptCount val="95"/>
                <c:pt idx="0">
                  <c:v>24</c:v>
                </c:pt>
                <c:pt idx="1">
                  <c:v>-13</c:v>
                </c:pt>
                <c:pt idx="2">
                  <c:v>18</c:v>
                </c:pt>
                <c:pt idx="3">
                  <c:v>46</c:v>
                </c:pt>
                <c:pt idx="4">
                  <c:v>4</c:v>
                </c:pt>
                <c:pt idx="5">
                  <c:v>64</c:v>
                </c:pt>
                <c:pt idx="6">
                  <c:v>61</c:v>
                </c:pt>
                <c:pt idx="7">
                  <c:v>55</c:v>
                </c:pt>
                <c:pt idx="8">
                  <c:v>72</c:v>
                </c:pt>
                <c:pt idx="9">
                  <c:v>59</c:v>
                </c:pt>
                <c:pt idx="10">
                  <c:v>50</c:v>
                </c:pt>
                <c:pt idx="11">
                  <c:v>46</c:v>
                </c:pt>
                <c:pt idx="12">
                  <c:v>-11</c:v>
                </c:pt>
                <c:pt idx="13">
                  <c:v>85</c:v>
                </c:pt>
                <c:pt idx="14">
                  <c:v>59</c:v>
                </c:pt>
                <c:pt idx="15">
                  <c:v>58</c:v>
                </c:pt>
                <c:pt idx="16">
                  <c:v>60</c:v>
                </c:pt>
                <c:pt idx="17">
                  <c:v>50</c:v>
                </c:pt>
                <c:pt idx="18">
                  <c:v>89</c:v>
                </c:pt>
                <c:pt idx="19">
                  <c:v>38</c:v>
                </c:pt>
                <c:pt idx="20">
                  <c:v>12</c:v>
                </c:pt>
                <c:pt idx="21">
                  <c:v>55</c:v>
                </c:pt>
                <c:pt idx="22">
                  <c:v>24</c:v>
                </c:pt>
                <c:pt idx="23">
                  <c:v>4</c:v>
                </c:pt>
                <c:pt idx="24">
                  <c:v>72</c:v>
                </c:pt>
                <c:pt idx="25">
                  <c:v>65</c:v>
                </c:pt>
                <c:pt idx="26">
                  <c:v>48</c:v>
                </c:pt>
                <c:pt idx="27">
                  <c:v>41</c:v>
                </c:pt>
                <c:pt idx="28">
                  <c:v>26</c:v>
                </c:pt>
                <c:pt idx="29">
                  <c:v>54</c:v>
                </c:pt>
                <c:pt idx="30">
                  <c:v>64</c:v>
                </c:pt>
                <c:pt idx="31">
                  <c:v>101</c:v>
                </c:pt>
                <c:pt idx="32">
                  <c:v>76</c:v>
                </c:pt>
                <c:pt idx="33">
                  <c:v>72</c:v>
                </c:pt>
                <c:pt idx="34">
                  <c:v>24</c:v>
                </c:pt>
                <c:pt idx="35">
                  <c:v>75</c:v>
                </c:pt>
                <c:pt idx="36">
                  <c:v>79</c:v>
                </c:pt>
                <c:pt idx="37">
                  <c:v>-7</c:v>
                </c:pt>
                <c:pt idx="38">
                  <c:v>22</c:v>
                </c:pt>
                <c:pt idx="39">
                  <c:v>13</c:v>
                </c:pt>
                <c:pt idx="40">
                  <c:v>64</c:v>
                </c:pt>
                <c:pt idx="41">
                  <c:v>90</c:v>
                </c:pt>
                <c:pt idx="42">
                  <c:v>58</c:v>
                </c:pt>
                <c:pt idx="43">
                  <c:v>22</c:v>
                </c:pt>
                <c:pt idx="44">
                  <c:v>121</c:v>
                </c:pt>
                <c:pt idx="45">
                  <c:v>26</c:v>
                </c:pt>
                <c:pt idx="46">
                  <c:v>79</c:v>
                </c:pt>
                <c:pt idx="47">
                  <c:v>26</c:v>
                </c:pt>
                <c:pt idx="48">
                  <c:v>44</c:v>
                </c:pt>
                <c:pt idx="49">
                  <c:v>60</c:v>
                </c:pt>
                <c:pt idx="50">
                  <c:v>87</c:v>
                </c:pt>
                <c:pt idx="51">
                  <c:v>46</c:v>
                </c:pt>
                <c:pt idx="52">
                  <c:v>80</c:v>
                </c:pt>
                <c:pt idx="53">
                  <c:v>68</c:v>
                </c:pt>
                <c:pt idx="54">
                  <c:v>46</c:v>
                </c:pt>
                <c:pt idx="55">
                  <c:v>76</c:v>
                </c:pt>
                <c:pt idx="56">
                  <c:v>115</c:v>
                </c:pt>
                <c:pt idx="57">
                  <c:v>37</c:v>
                </c:pt>
                <c:pt idx="58">
                  <c:v>77</c:v>
                </c:pt>
                <c:pt idx="59">
                  <c:v>70</c:v>
                </c:pt>
                <c:pt idx="60">
                  <c:v>96</c:v>
                </c:pt>
                <c:pt idx="61">
                  <c:v>19</c:v>
                </c:pt>
                <c:pt idx="62">
                  <c:v>69</c:v>
                </c:pt>
                <c:pt idx="63">
                  <c:v>52</c:v>
                </c:pt>
                <c:pt idx="64">
                  <c:v>7</c:v>
                </c:pt>
                <c:pt idx="65">
                  <c:v>31</c:v>
                </c:pt>
                <c:pt idx="66">
                  <c:v>63</c:v>
                </c:pt>
                <c:pt idx="67">
                  <c:v>24</c:v>
                </c:pt>
                <c:pt idx="68">
                  <c:v>33</c:v>
                </c:pt>
                <c:pt idx="69">
                  <c:v>41</c:v>
                </c:pt>
                <c:pt idx="70">
                  <c:v>43</c:v>
                </c:pt>
                <c:pt idx="71">
                  <c:v>37</c:v>
                </c:pt>
                <c:pt idx="72">
                  <c:v>29</c:v>
                </c:pt>
                <c:pt idx="73">
                  <c:v>52</c:v>
                </c:pt>
                <c:pt idx="74">
                  <c:v>37</c:v>
                </c:pt>
                <c:pt idx="75">
                  <c:v>19</c:v>
                </c:pt>
                <c:pt idx="76">
                  <c:v>45</c:v>
                </c:pt>
                <c:pt idx="77">
                  <c:v>23</c:v>
                </c:pt>
                <c:pt idx="78">
                  <c:v>56</c:v>
                </c:pt>
                <c:pt idx="79">
                  <c:v>49</c:v>
                </c:pt>
                <c:pt idx="80">
                  <c:v>61</c:v>
                </c:pt>
                <c:pt idx="81">
                  <c:v>73</c:v>
                </c:pt>
                <c:pt idx="82">
                  <c:v>35</c:v>
                </c:pt>
                <c:pt idx="83">
                  <c:v>104</c:v>
                </c:pt>
                <c:pt idx="84">
                  <c:v>20</c:v>
                </c:pt>
                <c:pt idx="85">
                  <c:v>81</c:v>
                </c:pt>
                <c:pt idx="86">
                  <c:v>139</c:v>
                </c:pt>
                <c:pt idx="87">
                  <c:v>60</c:v>
                </c:pt>
                <c:pt idx="88">
                  <c:v>43</c:v>
                </c:pt>
                <c:pt idx="89">
                  <c:v>7</c:v>
                </c:pt>
                <c:pt idx="90">
                  <c:v>43</c:v>
                </c:pt>
                <c:pt idx="91">
                  <c:v>36</c:v>
                </c:pt>
                <c:pt idx="92">
                  <c:v>53</c:v>
                </c:pt>
                <c:pt idx="93">
                  <c:v>3</c:v>
                </c:pt>
                <c:pt idx="94">
                  <c:v>-12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07C-AC4C-B3DA-0C544F1FC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626112"/>
        <c:axId val="97304623"/>
      </c:scatterChart>
      <c:valAx>
        <c:axId val="500626112"/>
        <c:scaling>
          <c:orientation val="minMax"/>
          <c:max val="100"/>
          <c:min val="6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Undergrad Grade</a:t>
                </a:r>
              </a:p>
            </c:rich>
          </c:tx>
          <c:layout>
            <c:manualLayout>
              <c:xMode val="edge"/>
              <c:yMode val="edge"/>
              <c:x val="0.44210979877515311"/>
              <c:y val="0.8833100029163021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304623"/>
        <c:crosses val="autoZero"/>
        <c:crossBetween val="midCat"/>
      </c:valAx>
      <c:valAx>
        <c:axId val="97304623"/>
        <c:scaling>
          <c:orientation val="minMax"/>
          <c:max val="140"/>
          <c:min val="-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Employability Improvement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06261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0"/>
              <a:t>Employability</a:t>
            </a:r>
            <a:r>
              <a:rPr lang="en-US" b="0" baseline="0"/>
              <a:t> Scores</a:t>
            </a:r>
            <a:endParaRPr lang="en-US" b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'R-Squared'!$C$5</c:f>
              <c:strCache>
                <c:ptCount val="1"/>
                <c:pt idx="0">
                  <c:v>Employability (After)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alpha val="70000"/>
                </a:schemeClr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1">
                    <a:lumMod val="75000"/>
                  </a:schemeClr>
                </a:solidFill>
                <a:prstDash val="solid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3745819358001662"/>
                  <c:y val="0.4255092592592592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'R-Squared'!$B$6:$B$100</c:f>
              <c:numCache>
                <c:formatCode>General</c:formatCode>
                <c:ptCount val="95"/>
                <c:pt idx="0">
                  <c:v>252</c:v>
                </c:pt>
                <c:pt idx="1">
                  <c:v>423</c:v>
                </c:pt>
                <c:pt idx="2">
                  <c:v>101</c:v>
                </c:pt>
                <c:pt idx="3">
                  <c:v>288</c:v>
                </c:pt>
                <c:pt idx="4">
                  <c:v>248</c:v>
                </c:pt>
                <c:pt idx="5">
                  <c:v>145</c:v>
                </c:pt>
                <c:pt idx="6">
                  <c:v>401</c:v>
                </c:pt>
                <c:pt idx="7">
                  <c:v>287</c:v>
                </c:pt>
                <c:pt idx="8">
                  <c:v>275</c:v>
                </c:pt>
                <c:pt idx="9">
                  <c:v>254</c:v>
                </c:pt>
                <c:pt idx="10">
                  <c:v>182</c:v>
                </c:pt>
                <c:pt idx="11">
                  <c:v>117</c:v>
                </c:pt>
                <c:pt idx="12">
                  <c:v>130</c:v>
                </c:pt>
                <c:pt idx="13">
                  <c:v>219</c:v>
                </c:pt>
                <c:pt idx="14">
                  <c:v>152</c:v>
                </c:pt>
                <c:pt idx="15">
                  <c:v>228</c:v>
                </c:pt>
                <c:pt idx="16">
                  <c:v>62</c:v>
                </c:pt>
                <c:pt idx="17">
                  <c:v>393</c:v>
                </c:pt>
                <c:pt idx="18">
                  <c:v>277</c:v>
                </c:pt>
                <c:pt idx="19">
                  <c:v>206</c:v>
                </c:pt>
                <c:pt idx="20">
                  <c:v>229</c:v>
                </c:pt>
                <c:pt idx="21">
                  <c:v>182</c:v>
                </c:pt>
                <c:pt idx="22">
                  <c:v>98</c:v>
                </c:pt>
                <c:pt idx="23">
                  <c:v>125</c:v>
                </c:pt>
                <c:pt idx="24">
                  <c:v>164</c:v>
                </c:pt>
                <c:pt idx="25">
                  <c:v>186</c:v>
                </c:pt>
                <c:pt idx="26">
                  <c:v>235</c:v>
                </c:pt>
                <c:pt idx="27">
                  <c:v>184</c:v>
                </c:pt>
                <c:pt idx="28">
                  <c:v>76</c:v>
                </c:pt>
                <c:pt idx="29">
                  <c:v>126</c:v>
                </c:pt>
                <c:pt idx="30">
                  <c:v>183</c:v>
                </c:pt>
                <c:pt idx="31">
                  <c:v>242</c:v>
                </c:pt>
                <c:pt idx="32">
                  <c:v>207</c:v>
                </c:pt>
                <c:pt idx="33">
                  <c:v>181</c:v>
                </c:pt>
                <c:pt idx="34">
                  <c:v>239</c:v>
                </c:pt>
                <c:pt idx="35">
                  <c:v>216</c:v>
                </c:pt>
                <c:pt idx="36">
                  <c:v>289</c:v>
                </c:pt>
                <c:pt idx="37">
                  <c:v>213</c:v>
                </c:pt>
                <c:pt idx="38">
                  <c:v>209</c:v>
                </c:pt>
                <c:pt idx="39">
                  <c:v>376</c:v>
                </c:pt>
                <c:pt idx="40">
                  <c:v>332</c:v>
                </c:pt>
                <c:pt idx="41">
                  <c:v>249</c:v>
                </c:pt>
                <c:pt idx="42">
                  <c:v>228</c:v>
                </c:pt>
                <c:pt idx="43">
                  <c:v>124</c:v>
                </c:pt>
                <c:pt idx="44">
                  <c:v>194</c:v>
                </c:pt>
                <c:pt idx="45">
                  <c:v>157</c:v>
                </c:pt>
                <c:pt idx="46">
                  <c:v>402</c:v>
                </c:pt>
                <c:pt idx="47">
                  <c:v>323</c:v>
                </c:pt>
                <c:pt idx="48">
                  <c:v>181</c:v>
                </c:pt>
                <c:pt idx="49">
                  <c:v>157</c:v>
                </c:pt>
                <c:pt idx="50">
                  <c:v>266</c:v>
                </c:pt>
                <c:pt idx="51">
                  <c:v>268</c:v>
                </c:pt>
                <c:pt idx="52">
                  <c:v>167</c:v>
                </c:pt>
                <c:pt idx="53">
                  <c:v>342</c:v>
                </c:pt>
                <c:pt idx="54">
                  <c:v>349</c:v>
                </c:pt>
                <c:pt idx="55">
                  <c:v>340</c:v>
                </c:pt>
                <c:pt idx="56">
                  <c:v>227</c:v>
                </c:pt>
                <c:pt idx="57">
                  <c:v>409</c:v>
                </c:pt>
                <c:pt idx="58">
                  <c:v>400</c:v>
                </c:pt>
                <c:pt idx="59">
                  <c:v>374</c:v>
                </c:pt>
                <c:pt idx="60">
                  <c:v>255</c:v>
                </c:pt>
                <c:pt idx="61">
                  <c:v>146</c:v>
                </c:pt>
                <c:pt idx="62">
                  <c:v>248</c:v>
                </c:pt>
                <c:pt idx="63">
                  <c:v>198</c:v>
                </c:pt>
                <c:pt idx="64">
                  <c:v>210</c:v>
                </c:pt>
                <c:pt idx="65">
                  <c:v>107</c:v>
                </c:pt>
                <c:pt idx="66">
                  <c:v>239</c:v>
                </c:pt>
                <c:pt idx="67">
                  <c:v>287</c:v>
                </c:pt>
                <c:pt idx="68">
                  <c:v>340</c:v>
                </c:pt>
                <c:pt idx="69">
                  <c:v>155</c:v>
                </c:pt>
                <c:pt idx="70">
                  <c:v>263</c:v>
                </c:pt>
                <c:pt idx="71">
                  <c:v>265</c:v>
                </c:pt>
                <c:pt idx="72">
                  <c:v>249</c:v>
                </c:pt>
                <c:pt idx="73">
                  <c:v>377</c:v>
                </c:pt>
                <c:pt idx="74">
                  <c:v>301</c:v>
                </c:pt>
                <c:pt idx="75">
                  <c:v>242</c:v>
                </c:pt>
                <c:pt idx="76">
                  <c:v>211</c:v>
                </c:pt>
                <c:pt idx="77">
                  <c:v>160</c:v>
                </c:pt>
                <c:pt idx="78">
                  <c:v>218</c:v>
                </c:pt>
                <c:pt idx="79">
                  <c:v>133</c:v>
                </c:pt>
                <c:pt idx="80">
                  <c:v>122</c:v>
                </c:pt>
                <c:pt idx="81">
                  <c:v>236</c:v>
                </c:pt>
                <c:pt idx="82">
                  <c:v>143</c:v>
                </c:pt>
                <c:pt idx="83">
                  <c:v>354</c:v>
                </c:pt>
                <c:pt idx="84">
                  <c:v>214</c:v>
                </c:pt>
                <c:pt idx="85">
                  <c:v>225</c:v>
                </c:pt>
                <c:pt idx="86">
                  <c:v>261</c:v>
                </c:pt>
                <c:pt idx="87">
                  <c:v>277</c:v>
                </c:pt>
                <c:pt idx="88">
                  <c:v>282</c:v>
                </c:pt>
                <c:pt idx="89">
                  <c:v>322</c:v>
                </c:pt>
                <c:pt idx="90">
                  <c:v>326</c:v>
                </c:pt>
                <c:pt idx="91">
                  <c:v>421</c:v>
                </c:pt>
                <c:pt idx="92">
                  <c:v>368</c:v>
                </c:pt>
                <c:pt idx="93">
                  <c:v>279</c:v>
                </c:pt>
                <c:pt idx="94">
                  <c:v>268</c:v>
                </c:pt>
              </c:numCache>
            </c:numRef>
          </c:xVal>
          <c:yVal>
            <c:numRef>
              <c:f>'R-Squared'!$C$6:$C$100</c:f>
              <c:numCache>
                <c:formatCode>General</c:formatCode>
                <c:ptCount val="95"/>
                <c:pt idx="0">
                  <c:v>276</c:v>
                </c:pt>
                <c:pt idx="1">
                  <c:v>410</c:v>
                </c:pt>
                <c:pt idx="2">
                  <c:v>119</c:v>
                </c:pt>
                <c:pt idx="3">
                  <c:v>334</c:v>
                </c:pt>
                <c:pt idx="4">
                  <c:v>252</c:v>
                </c:pt>
                <c:pt idx="5">
                  <c:v>209</c:v>
                </c:pt>
                <c:pt idx="6">
                  <c:v>462</c:v>
                </c:pt>
                <c:pt idx="7">
                  <c:v>342</c:v>
                </c:pt>
                <c:pt idx="8">
                  <c:v>347</c:v>
                </c:pt>
                <c:pt idx="9">
                  <c:v>313</c:v>
                </c:pt>
                <c:pt idx="10">
                  <c:v>232</c:v>
                </c:pt>
                <c:pt idx="11">
                  <c:v>163</c:v>
                </c:pt>
                <c:pt idx="12">
                  <c:v>119</c:v>
                </c:pt>
                <c:pt idx="13">
                  <c:v>304</c:v>
                </c:pt>
                <c:pt idx="14">
                  <c:v>211</c:v>
                </c:pt>
                <c:pt idx="15">
                  <c:v>286</c:v>
                </c:pt>
                <c:pt idx="16">
                  <c:v>122</c:v>
                </c:pt>
                <c:pt idx="17">
                  <c:v>443</c:v>
                </c:pt>
                <c:pt idx="18">
                  <c:v>366</c:v>
                </c:pt>
                <c:pt idx="19">
                  <c:v>244</c:v>
                </c:pt>
                <c:pt idx="20">
                  <c:v>241</c:v>
                </c:pt>
                <c:pt idx="21">
                  <c:v>237</c:v>
                </c:pt>
                <c:pt idx="22">
                  <c:v>122</c:v>
                </c:pt>
                <c:pt idx="23">
                  <c:v>129</c:v>
                </c:pt>
                <c:pt idx="24">
                  <c:v>236</c:v>
                </c:pt>
                <c:pt idx="25">
                  <c:v>251</c:v>
                </c:pt>
                <c:pt idx="26">
                  <c:v>283</c:v>
                </c:pt>
                <c:pt idx="27">
                  <c:v>225</c:v>
                </c:pt>
                <c:pt idx="28">
                  <c:v>102</c:v>
                </c:pt>
                <c:pt idx="29">
                  <c:v>180</c:v>
                </c:pt>
                <c:pt idx="30">
                  <c:v>247</c:v>
                </c:pt>
                <c:pt idx="31">
                  <c:v>343</c:v>
                </c:pt>
                <c:pt idx="32">
                  <c:v>283</c:v>
                </c:pt>
                <c:pt idx="33">
                  <c:v>253</c:v>
                </c:pt>
                <c:pt idx="34">
                  <c:v>263</c:v>
                </c:pt>
                <c:pt idx="35">
                  <c:v>291</c:v>
                </c:pt>
                <c:pt idx="36">
                  <c:v>368</c:v>
                </c:pt>
                <c:pt idx="37">
                  <c:v>206</c:v>
                </c:pt>
                <c:pt idx="38">
                  <c:v>231</c:v>
                </c:pt>
                <c:pt idx="39">
                  <c:v>389</c:v>
                </c:pt>
                <c:pt idx="40">
                  <c:v>396</c:v>
                </c:pt>
                <c:pt idx="41">
                  <c:v>339</c:v>
                </c:pt>
                <c:pt idx="42">
                  <c:v>286</c:v>
                </c:pt>
                <c:pt idx="43">
                  <c:v>146</c:v>
                </c:pt>
                <c:pt idx="44">
                  <c:v>315</c:v>
                </c:pt>
                <c:pt idx="45">
                  <c:v>183</c:v>
                </c:pt>
                <c:pt idx="46">
                  <c:v>481</c:v>
                </c:pt>
                <c:pt idx="47">
                  <c:v>349</c:v>
                </c:pt>
                <c:pt idx="48">
                  <c:v>225</c:v>
                </c:pt>
                <c:pt idx="49">
                  <c:v>217</c:v>
                </c:pt>
                <c:pt idx="50">
                  <c:v>353</c:v>
                </c:pt>
                <c:pt idx="51">
                  <c:v>314</c:v>
                </c:pt>
                <c:pt idx="52">
                  <c:v>247</c:v>
                </c:pt>
                <c:pt idx="53">
                  <c:v>410</c:v>
                </c:pt>
                <c:pt idx="54">
                  <c:v>395</c:v>
                </c:pt>
                <c:pt idx="55">
                  <c:v>416</c:v>
                </c:pt>
                <c:pt idx="56">
                  <c:v>342</c:v>
                </c:pt>
                <c:pt idx="57">
                  <c:v>446</c:v>
                </c:pt>
                <c:pt idx="58">
                  <c:v>477</c:v>
                </c:pt>
                <c:pt idx="59">
                  <c:v>444</c:v>
                </c:pt>
                <c:pt idx="60">
                  <c:v>351</c:v>
                </c:pt>
                <c:pt idx="61">
                  <c:v>165</c:v>
                </c:pt>
                <c:pt idx="62">
                  <c:v>317</c:v>
                </c:pt>
                <c:pt idx="63">
                  <c:v>250</c:v>
                </c:pt>
                <c:pt idx="64">
                  <c:v>217</c:v>
                </c:pt>
                <c:pt idx="65">
                  <c:v>138</c:v>
                </c:pt>
                <c:pt idx="66">
                  <c:v>302</c:v>
                </c:pt>
                <c:pt idx="67">
                  <c:v>311</c:v>
                </c:pt>
                <c:pt idx="68">
                  <c:v>373</c:v>
                </c:pt>
                <c:pt idx="69">
                  <c:v>196</c:v>
                </c:pt>
                <c:pt idx="70">
                  <c:v>306</c:v>
                </c:pt>
                <c:pt idx="71">
                  <c:v>302</c:v>
                </c:pt>
                <c:pt idx="72">
                  <c:v>278</c:v>
                </c:pt>
                <c:pt idx="73">
                  <c:v>429</c:v>
                </c:pt>
                <c:pt idx="74">
                  <c:v>338</c:v>
                </c:pt>
                <c:pt idx="75">
                  <c:v>261</c:v>
                </c:pt>
                <c:pt idx="76">
                  <c:v>256</c:v>
                </c:pt>
                <c:pt idx="77">
                  <c:v>183</c:v>
                </c:pt>
                <c:pt idx="78">
                  <c:v>274</c:v>
                </c:pt>
                <c:pt idx="79">
                  <c:v>182</c:v>
                </c:pt>
                <c:pt idx="80">
                  <c:v>183</c:v>
                </c:pt>
                <c:pt idx="81">
                  <c:v>309</c:v>
                </c:pt>
                <c:pt idx="82">
                  <c:v>178</c:v>
                </c:pt>
                <c:pt idx="83">
                  <c:v>458</c:v>
                </c:pt>
                <c:pt idx="84">
                  <c:v>234</c:v>
                </c:pt>
                <c:pt idx="85">
                  <c:v>306</c:v>
                </c:pt>
                <c:pt idx="86">
                  <c:v>400</c:v>
                </c:pt>
                <c:pt idx="87">
                  <c:v>337</c:v>
                </c:pt>
                <c:pt idx="88">
                  <c:v>325</c:v>
                </c:pt>
                <c:pt idx="89">
                  <c:v>329</c:v>
                </c:pt>
                <c:pt idx="90">
                  <c:v>369</c:v>
                </c:pt>
                <c:pt idx="91">
                  <c:v>457</c:v>
                </c:pt>
                <c:pt idx="92">
                  <c:v>421</c:v>
                </c:pt>
                <c:pt idx="93">
                  <c:v>282</c:v>
                </c:pt>
                <c:pt idx="94">
                  <c:v>256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509-453E-9D3E-E1379A8E84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6164800"/>
        <c:axId val="466153984"/>
      </c:scatterChart>
      <c:valAx>
        <c:axId val="466164800"/>
        <c:scaling>
          <c:orientation val="minMax"/>
          <c:max val="5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Before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6153984"/>
        <c:crosses val="autoZero"/>
        <c:crossBetween val="midCat"/>
      </c:valAx>
      <c:valAx>
        <c:axId val="466153984"/>
        <c:scaling>
          <c:orientation val="minMax"/>
          <c:max val="5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After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6164800"/>
        <c:crosses val="autoZero"/>
        <c:crossBetween val="midCat"/>
        <c:majorUnit val="10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0"/>
              <a:t>Employability</a:t>
            </a:r>
            <a:r>
              <a:rPr lang="en-US" b="0" baseline="0"/>
              <a:t> Scores</a:t>
            </a:r>
            <a:endParaRPr lang="en-US" b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'Standard Error'!$C$5</c:f>
              <c:strCache>
                <c:ptCount val="1"/>
                <c:pt idx="0">
                  <c:v>Employability (After)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alpha val="70000"/>
                </a:schemeClr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1">
                    <a:lumMod val="75000"/>
                  </a:schemeClr>
                </a:solidFill>
                <a:prstDash val="solid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3745819358001662"/>
                  <c:y val="0.4255092592592592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'Standard Error'!$B$6:$B$100</c:f>
              <c:numCache>
                <c:formatCode>General</c:formatCode>
                <c:ptCount val="95"/>
                <c:pt idx="0">
                  <c:v>252</c:v>
                </c:pt>
                <c:pt idx="1">
                  <c:v>423</c:v>
                </c:pt>
                <c:pt idx="2">
                  <c:v>101</c:v>
                </c:pt>
                <c:pt idx="3">
                  <c:v>288</c:v>
                </c:pt>
                <c:pt idx="4">
                  <c:v>248</c:v>
                </c:pt>
                <c:pt idx="5">
                  <c:v>145</c:v>
                </c:pt>
                <c:pt idx="6">
                  <c:v>401</c:v>
                </c:pt>
                <c:pt idx="7">
                  <c:v>287</c:v>
                </c:pt>
                <c:pt idx="8">
                  <c:v>275</c:v>
                </c:pt>
                <c:pt idx="9">
                  <c:v>254</c:v>
                </c:pt>
                <c:pt idx="10">
                  <c:v>182</c:v>
                </c:pt>
                <c:pt idx="11">
                  <c:v>117</c:v>
                </c:pt>
                <c:pt idx="12">
                  <c:v>130</c:v>
                </c:pt>
                <c:pt idx="13">
                  <c:v>219</c:v>
                </c:pt>
                <c:pt idx="14">
                  <c:v>152</c:v>
                </c:pt>
                <c:pt idx="15">
                  <c:v>228</c:v>
                </c:pt>
                <c:pt idx="16">
                  <c:v>62</c:v>
                </c:pt>
                <c:pt idx="17">
                  <c:v>393</c:v>
                </c:pt>
                <c:pt idx="18">
                  <c:v>277</c:v>
                </c:pt>
                <c:pt idx="19">
                  <c:v>206</c:v>
                </c:pt>
                <c:pt idx="20">
                  <c:v>229</c:v>
                </c:pt>
                <c:pt idx="21">
                  <c:v>182</c:v>
                </c:pt>
                <c:pt idx="22">
                  <c:v>98</c:v>
                </c:pt>
                <c:pt idx="23">
                  <c:v>125</c:v>
                </c:pt>
                <c:pt idx="24">
                  <c:v>164</c:v>
                </c:pt>
                <c:pt idx="25">
                  <c:v>186</c:v>
                </c:pt>
                <c:pt idx="26">
                  <c:v>235</c:v>
                </c:pt>
                <c:pt idx="27">
                  <c:v>184</c:v>
                </c:pt>
                <c:pt idx="28">
                  <c:v>76</c:v>
                </c:pt>
                <c:pt idx="29">
                  <c:v>126</c:v>
                </c:pt>
                <c:pt idx="30">
                  <c:v>183</c:v>
                </c:pt>
                <c:pt idx="31">
                  <c:v>242</c:v>
                </c:pt>
                <c:pt idx="32">
                  <c:v>207</c:v>
                </c:pt>
                <c:pt idx="33">
                  <c:v>181</c:v>
                </c:pt>
                <c:pt idx="34">
                  <c:v>239</c:v>
                </c:pt>
                <c:pt idx="35">
                  <c:v>216</c:v>
                </c:pt>
                <c:pt idx="36">
                  <c:v>289</c:v>
                </c:pt>
                <c:pt idx="37">
                  <c:v>213</c:v>
                </c:pt>
                <c:pt idx="38">
                  <c:v>209</c:v>
                </c:pt>
                <c:pt idx="39">
                  <c:v>376</c:v>
                </c:pt>
                <c:pt idx="40">
                  <c:v>332</c:v>
                </c:pt>
                <c:pt idx="41">
                  <c:v>249</c:v>
                </c:pt>
                <c:pt idx="42">
                  <c:v>228</c:v>
                </c:pt>
                <c:pt idx="43">
                  <c:v>124</c:v>
                </c:pt>
                <c:pt idx="44">
                  <c:v>194</c:v>
                </c:pt>
                <c:pt idx="45">
                  <c:v>157</c:v>
                </c:pt>
                <c:pt idx="46">
                  <c:v>402</c:v>
                </c:pt>
                <c:pt idx="47">
                  <c:v>323</c:v>
                </c:pt>
                <c:pt idx="48">
                  <c:v>181</c:v>
                </c:pt>
                <c:pt idx="49">
                  <c:v>157</c:v>
                </c:pt>
                <c:pt idx="50">
                  <c:v>266</c:v>
                </c:pt>
                <c:pt idx="51">
                  <c:v>268</c:v>
                </c:pt>
                <c:pt idx="52">
                  <c:v>167</c:v>
                </c:pt>
                <c:pt idx="53">
                  <c:v>342</c:v>
                </c:pt>
                <c:pt idx="54">
                  <c:v>349</c:v>
                </c:pt>
                <c:pt idx="55">
                  <c:v>340</c:v>
                </c:pt>
                <c:pt idx="56">
                  <c:v>227</c:v>
                </c:pt>
                <c:pt idx="57">
                  <c:v>409</c:v>
                </c:pt>
                <c:pt idx="58">
                  <c:v>400</c:v>
                </c:pt>
                <c:pt idx="59">
                  <c:v>374</c:v>
                </c:pt>
                <c:pt idx="60">
                  <c:v>255</c:v>
                </c:pt>
                <c:pt idx="61">
                  <c:v>146</c:v>
                </c:pt>
                <c:pt idx="62">
                  <c:v>248</c:v>
                </c:pt>
                <c:pt idx="63">
                  <c:v>198</c:v>
                </c:pt>
                <c:pt idx="64">
                  <c:v>210</c:v>
                </c:pt>
                <c:pt idx="65">
                  <c:v>107</c:v>
                </c:pt>
                <c:pt idx="66">
                  <c:v>239</c:v>
                </c:pt>
                <c:pt idx="67">
                  <c:v>287</c:v>
                </c:pt>
                <c:pt idx="68">
                  <c:v>340</c:v>
                </c:pt>
                <c:pt idx="69">
                  <c:v>155</c:v>
                </c:pt>
                <c:pt idx="70">
                  <c:v>263</c:v>
                </c:pt>
                <c:pt idx="71">
                  <c:v>265</c:v>
                </c:pt>
                <c:pt idx="72">
                  <c:v>249</c:v>
                </c:pt>
                <c:pt idx="73">
                  <c:v>377</c:v>
                </c:pt>
                <c:pt idx="74">
                  <c:v>301</c:v>
                </c:pt>
                <c:pt idx="75">
                  <c:v>242</c:v>
                </c:pt>
                <c:pt idx="76">
                  <c:v>211</c:v>
                </c:pt>
                <c:pt idx="77">
                  <c:v>160</c:v>
                </c:pt>
                <c:pt idx="78">
                  <c:v>218</c:v>
                </c:pt>
                <c:pt idx="79">
                  <c:v>133</c:v>
                </c:pt>
                <c:pt idx="80">
                  <c:v>122</c:v>
                </c:pt>
                <c:pt idx="81">
                  <c:v>236</c:v>
                </c:pt>
                <c:pt idx="82">
                  <c:v>143</c:v>
                </c:pt>
                <c:pt idx="83">
                  <c:v>354</c:v>
                </c:pt>
                <c:pt idx="84">
                  <c:v>214</c:v>
                </c:pt>
                <c:pt idx="85">
                  <c:v>225</c:v>
                </c:pt>
                <c:pt idx="86">
                  <c:v>261</c:v>
                </c:pt>
                <c:pt idx="87">
                  <c:v>277</c:v>
                </c:pt>
                <c:pt idx="88">
                  <c:v>282</c:v>
                </c:pt>
                <c:pt idx="89">
                  <c:v>322</c:v>
                </c:pt>
                <c:pt idx="90">
                  <c:v>326</c:v>
                </c:pt>
                <c:pt idx="91">
                  <c:v>421</c:v>
                </c:pt>
                <c:pt idx="92">
                  <c:v>368</c:v>
                </c:pt>
                <c:pt idx="93">
                  <c:v>279</c:v>
                </c:pt>
                <c:pt idx="94">
                  <c:v>268</c:v>
                </c:pt>
              </c:numCache>
            </c:numRef>
          </c:xVal>
          <c:yVal>
            <c:numRef>
              <c:f>'Standard Error'!$C$6:$C$100</c:f>
              <c:numCache>
                <c:formatCode>General</c:formatCode>
                <c:ptCount val="95"/>
                <c:pt idx="0">
                  <c:v>276</c:v>
                </c:pt>
                <c:pt idx="1">
                  <c:v>410</c:v>
                </c:pt>
                <c:pt idx="2">
                  <c:v>119</c:v>
                </c:pt>
                <c:pt idx="3">
                  <c:v>334</c:v>
                </c:pt>
                <c:pt idx="4">
                  <c:v>252</c:v>
                </c:pt>
                <c:pt idx="5">
                  <c:v>209</c:v>
                </c:pt>
                <c:pt idx="6">
                  <c:v>462</c:v>
                </c:pt>
                <c:pt idx="7">
                  <c:v>342</c:v>
                </c:pt>
                <c:pt idx="8">
                  <c:v>347</c:v>
                </c:pt>
                <c:pt idx="9">
                  <c:v>313</c:v>
                </c:pt>
                <c:pt idx="10">
                  <c:v>232</c:v>
                </c:pt>
                <c:pt idx="11">
                  <c:v>163</c:v>
                </c:pt>
                <c:pt idx="12">
                  <c:v>119</c:v>
                </c:pt>
                <c:pt idx="13">
                  <c:v>304</c:v>
                </c:pt>
                <c:pt idx="14">
                  <c:v>211</c:v>
                </c:pt>
                <c:pt idx="15">
                  <c:v>286</c:v>
                </c:pt>
                <c:pt idx="16">
                  <c:v>122</c:v>
                </c:pt>
                <c:pt idx="17">
                  <c:v>443</c:v>
                </c:pt>
                <c:pt idx="18">
                  <c:v>366</c:v>
                </c:pt>
                <c:pt idx="19">
                  <c:v>244</c:v>
                </c:pt>
                <c:pt idx="20">
                  <c:v>241</c:v>
                </c:pt>
                <c:pt idx="21">
                  <c:v>237</c:v>
                </c:pt>
                <c:pt idx="22">
                  <c:v>122</c:v>
                </c:pt>
                <c:pt idx="23">
                  <c:v>129</c:v>
                </c:pt>
                <c:pt idx="24">
                  <c:v>236</c:v>
                </c:pt>
                <c:pt idx="25">
                  <c:v>251</c:v>
                </c:pt>
                <c:pt idx="26">
                  <c:v>283</c:v>
                </c:pt>
                <c:pt idx="27">
                  <c:v>225</c:v>
                </c:pt>
                <c:pt idx="28">
                  <c:v>102</c:v>
                </c:pt>
                <c:pt idx="29">
                  <c:v>180</c:v>
                </c:pt>
                <c:pt idx="30">
                  <c:v>247</c:v>
                </c:pt>
                <c:pt idx="31">
                  <c:v>343</c:v>
                </c:pt>
                <c:pt idx="32">
                  <c:v>283</c:v>
                </c:pt>
                <c:pt idx="33">
                  <c:v>253</c:v>
                </c:pt>
                <c:pt idx="34">
                  <c:v>263</c:v>
                </c:pt>
                <c:pt idx="35">
                  <c:v>291</c:v>
                </c:pt>
                <c:pt idx="36">
                  <c:v>368</c:v>
                </c:pt>
                <c:pt idx="37">
                  <c:v>206</c:v>
                </c:pt>
                <c:pt idx="38">
                  <c:v>231</c:v>
                </c:pt>
                <c:pt idx="39">
                  <c:v>389</c:v>
                </c:pt>
                <c:pt idx="40">
                  <c:v>396</c:v>
                </c:pt>
                <c:pt idx="41">
                  <c:v>339</c:v>
                </c:pt>
                <c:pt idx="42">
                  <c:v>286</c:v>
                </c:pt>
                <c:pt idx="43">
                  <c:v>146</c:v>
                </c:pt>
                <c:pt idx="44">
                  <c:v>315</c:v>
                </c:pt>
                <c:pt idx="45">
                  <c:v>183</c:v>
                </c:pt>
                <c:pt idx="46">
                  <c:v>481</c:v>
                </c:pt>
                <c:pt idx="47">
                  <c:v>349</c:v>
                </c:pt>
                <c:pt idx="48">
                  <c:v>225</c:v>
                </c:pt>
                <c:pt idx="49">
                  <c:v>217</c:v>
                </c:pt>
                <c:pt idx="50">
                  <c:v>353</c:v>
                </c:pt>
                <c:pt idx="51">
                  <c:v>314</c:v>
                </c:pt>
                <c:pt idx="52">
                  <c:v>247</c:v>
                </c:pt>
                <c:pt idx="53">
                  <c:v>410</c:v>
                </c:pt>
                <c:pt idx="54">
                  <c:v>395</c:v>
                </c:pt>
                <c:pt idx="55">
                  <c:v>416</c:v>
                </c:pt>
                <c:pt idx="56">
                  <c:v>342</c:v>
                </c:pt>
                <c:pt idx="57">
                  <c:v>446</c:v>
                </c:pt>
                <c:pt idx="58">
                  <c:v>477</c:v>
                </c:pt>
                <c:pt idx="59">
                  <c:v>444</c:v>
                </c:pt>
                <c:pt idx="60">
                  <c:v>351</c:v>
                </c:pt>
                <c:pt idx="61">
                  <c:v>165</c:v>
                </c:pt>
                <c:pt idx="62">
                  <c:v>317</c:v>
                </c:pt>
                <c:pt idx="63">
                  <c:v>250</c:v>
                </c:pt>
                <c:pt idx="64">
                  <c:v>217</c:v>
                </c:pt>
                <c:pt idx="65">
                  <c:v>138</c:v>
                </c:pt>
                <c:pt idx="66">
                  <c:v>302</c:v>
                </c:pt>
                <c:pt idx="67">
                  <c:v>311</c:v>
                </c:pt>
                <c:pt idx="68">
                  <c:v>373</c:v>
                </c:pt>
                <c:pt idx="69">
                  <c:v>196</c:v>
                </c:pt>
                <c:pt idx="70">
                  <c:v>306</c:v>
                </c:pt>
                <c:pt idx="71">
                  <c:v>302</c:v>
                </c:pt>
                <c:pt idx="72">
                  <c:v>278</c:v>
                </c:pt>
                <c:pt idx="73">
                  <c:v>429</c:v>
                </c:pt>
                <c:pt idx="74">
                  <c:v>338</c:v>
                </c:pt>
                <c:pt idx="75">
                  <c:v>261</c:v>
                </c:pt>
                <c:pt idx="76">
                  <c:v>256</c:v>
                </c:pt>
                <c:pt idx="77">
                  <c:v>183</c:v>
                </c:pt>
                <c:pt idx="78">
                  <c:v>274</c:v>
                </c:pt>
                <c:pt idx="79">
                  <c:v>182</c:v>
                </c:pt>
                <c:pt idx="80">
                  <c:v>183</c:v>
                </c:pt>
                <c:pt idx="81">
                  <c:v>309</c:v>
                </c:pt>
                <c:pt idx="82">
                  <c:v>178</c:v>
                </c:pt>
                <c:pt idx="83">
                  <c:v>458</c:v>
                </c:pt>
                <c:pt idx="84">
                  <c:v>234</c:v>
                </c:pt>
                <c:pt idx="85">
                  <c:v>306</c:v>
                </c:pt>
                <c:pt idx="86">
                  <c:v>400</c:v>
                </c:pt>
                <c:pt idx="87">
                  <c:v>337</c:v>
                </c:pt>
                <c:pt idx="88">
                  <c:v>325</c:v>
                </c:pt>
                <c:pt idx="89">
                  <c:v>329</c:v>
                </c:pt>
                <c:pt idx="90">
                  <c:v>369</c:v>
                </c:pt>
                <c:pt idx="91">
                  <c:v>457</c:v>
                </c:pt>
                <c:pt idx="92">
                  <c:v>421</c:v>
                </c:pt>
                <c:pt idx="93">
                  <c:v>282</c:v>
                </c:pt>
                <c:pt idx="94">
                  <c:v>256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1D6-45F3-9148-240C148BAD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6164800"/>
        <c:axId val="466153984"/>
      </c:scatterChart>
      <c:valAx>
        <c:axId val="466164800"/>
        <c:scaling>
          <c:orientation val="minMax"/>
          <c:max val="5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Before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6153984"/>
        <c:crosses val="autoZero"/>
        <c:crossBetween val="midCat"/>
      </c:valAx>
      <c:valAx>
        <c:axId val="466153984"/>
        <c:scaling>
          <c:orientation val="minMax"/>
          <c:max val="5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After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6164800"/>
        <c:crosses val="autoZero"/>
        <c:crossBetween val="midCat"/>
        <c:majorUnit val="10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0"/>
              <a:t>Employability</a:t>
            </a:r>
            <a:r>
              <a:rPr lang="en-US" b="0" baseline="0"/>
              <a:t> Scores</a:t>
            </a:r>
            <a:endParaRPr lang="en-US" b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Homoskedasticity!$C$5</c:f>
              <c:strCache>
                <c:ptCount val="1"/>
                <c:pt idx="0">
                  <c:v>Employability (After)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alpha val="70000"/>
                </a:schemeClr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1">
                    <a:lumMod val="75000"/>
                  </a:schemeClr>
                </a:solidFill>
                <a:prstDash val="solid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3745819358001662"/>
                  <c:y val="0.4255092592592592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Homoskedasticity!$B$6:$B$100</c:f>
              <c:numCache>
                <c:formatCode>General</c:formatCode>
                <c:ptCount val="95"/>
                <c:pt idx="0">
                  <c:v>252</c:v>
                </c:pt>
                <c:pt idx="1">
                  <c:v>423</c:v>
                </c:pt>
                <c:pt idx="2">
                  <c:v>101</c:v>
                </c:pt>
                <c:pt idx="3">
                  <c:v>288</c:v>
                </c:pt>
                <c:pt idx="4">
                  <c:v>248</c:v>
                </c:pt>
                <c:pt idx="5">
                  <c:v>145</c:v>
                </c:pt>
                <c:pt idx="6">
                  <c:v>401</c:v>
                </c:pt>
                <c:pt idx="7">
                  <c:v>287</c:v>
                </c:pt>
                <c:pt idx="8">
                  <c:v>275</c:v>
                </c:pt>
                <c:pt idx="9">
                  <c:v>254</c:v>
                </c:pt>
                <c:pt idx="10">
                  <c:v>182</c:v>
                </c:pt>
                <c:pt idx="11">
                  <c:v>117</c:v>
                </c:pt>
                <c:pt idx="12">
                  <c:v>130</c:v>
                </c:pt>
                <c:pt idx="13">
                  <c:v>219</c:v>
                </c:pt>
                <c:pt idx="14">
                  <c:v>152</c:v>
                </c:pt>
                <c:pt idx="15">
                  <c:v>228</c:v>
                </c:pt>
                <c:pt idx="16">
                  <c:v>62</c:v>
                </c:pt>
                <c:pt idx="17">
                  <c:v>393</c:v>
                </c:pt>
                <c:pt idx="18">
                  <c:v>277</c:v>
                </c:pt>
                <c:pt idx="19">
                  <c:v>206</c:v>
                </c:pt>
                <c:pt idx="20">
                  <c:v>229</c:v>
                </c:pt>
                <c:pt idx="21">
                  <c:v>182</c:v>
                </c:pt>
                <c:pt idx="22">
                  <c:v>98</c:v>
                </c:pt>
                <c:pt idx="23">
                  <c:v>125</c:v>
                </c:pt>
                <c:pt idx="24">
                  <c:v>164</c:v>
                </c:pt>
                <c:pt idx="25">
                  <c:v>186</c:v>
                </c:pt>
                <c:pt idx="26">
                  <c:v>235</c:v>
                </c:pt>
                <c:pt idx="27">
                  <c:v>184</c:v>
                </c:pt>
                <c:pt idx="28">
                  <c:v>76</c:v>
                </c:pt>
                <c:pt idx="29">
                  <c:v>126</c:v>
                </c:pt>
                <c:pt idx="30">
                  <c:v>183</c:v>
                </c:pt>
                <c:pt idx="31">
                  <c:v>242</c:v>
                </c:pt>
                <c:pt idx="32">
                  <c:v>207</c:v>
                </c:pt>
                <c:pt idx="33">
                  <c:v>181</c:v>
                </c:pt>
                <c:pt idx="34">
                  <c:v>239</c:v>
                </c:pt>
                <c:pt idx="35">
                  <c:v>216</c:v>
                </c:pt>
                <c:pt idx="36">
                  <c:v>289</c:v>
                </c:pt>
                <c:pt idx="37">
                  <c:v>213</c:v>
                </c:pt>
                <c:pt idx="38">
                  <c:v>209</c:v>
                </c:pt>
                <c:pt idx="39">
                  <c:v>376</c:v>
                </c:pt>
                <c:pt idx="40">
                  <c:v>332</c:v>
                </c:pt>
                <c:pt idx="41">
                  <c:v>249</c:v>
                </c:pt>
                <c:pt idx="42">
                  <c:v>228</c:v>
                </c:pt>
                <c:pt idx="43">
                  <c:v>124</c:v>
                </c:pt>
                <c:pt idx="44">
                  <c:v>194</c:v>
                </c:pt>
                <c:pt idx="45">
                  <c:v>157</c:v>
                </c:pt>
                <c:pt idx="46">
                  <c:v>402</c:v>
                </c:pt>
                <c:pt idx="47">
                  <c:v>323</c:v>
                </c:pt>
                <c:pt idx="48">
                  <c:v>181</c:v>
                </c:pt>
                <c:pt idx="49">
                  <c:v>157</c:v>
                </c:pt>
                <c:pt idx="50">
                  <c:v>266</c:v>
                </c:pt>
                <c:pt idx="51">
                  <c:v>268</c:v>
                </c:pt>
                <c:pt idx="52">
                  <c:v>167</c:v>
                </c:pt>
                <c:pt idx="53">
                  <c:v>342</c:v>
                </c:pt>
                <c:pt idx="54">
                  <c:v>349</c:v>
                </c:pt>
                <c:pt idx="55">
                  <c:v>340</c:v>
                </c:pt>
                <c:pt idx="56">
                  <c:v>227</c:v>
                </c:pt>
                <c:pt idx="57">
                  <c:v>409</c:v>
                </c:pt>
                <c:pt idx="58">
                  <c:v>400</c:v>
                </c:pt>
                <c:pt idx="59">
                  <c:v>374</c:v>
                </c:pt>
                <c:pt idx="60">
                  <c:v>255</c:v>
                </c:pt>
                <c:pt idx="61">
                  <c:v>146</c:v>
                </c:pt>
                <c:pt idx="62">
                  <c:v>248</c:v>
                </c:pt>
                <c:pt idx="63">
                  <c:v>198</c:v>
                </c:pt>
                <c:pt idx="64">
                  <c:v>210</c:v>
                </c:pt>
                <c:pt idx="65">
                  <c:v>107</c:v>
                </c:pt>
                <c:pt idx="66">
                  <c:v>239</c:v>
                </c:pt>
                <c:pt idx="67">
                  <c:v>287</c:v>
                </c:pt>
                <c:pt idx="68">
                  <c:v>340</c:v>
                </c:pt>
                <c:pt idx="69">
                  <c:v>155</c:v>
                </c:pt>
                <c:pt idx="70">
                  <c:v>263</c:v>
                </c:pt>
                <c:pt idx="71">
                  <c:v>265</c:v>
                </c:pt>
                <c:pt idx="72">
                  <c:v>249</c:v>
                </c:pt>
                <c:pt idx="73">
                  <c:v>377</c:v>
                </c:pt>
                <c:pt idx="74">
                  <c:v>301</c:v>
                </c:pt>
                <c:pt idx="75">
                  <c:v>242</c:v>
                </c:pt>
                <c:pt idx="76">
                  <c:v>211</c:v>
                </c:pt>
                <c:pt idx="77">
                  <c:v>160</c:v>
                </c:pt>
                <c:pt idx="78">
                  <c:v>218</c:v>
                </c:pt>
                <c:pt idx="79">
                  <c:v>133</c:v>
                </c:pt>
                <c:pt idx="80">
                  <c:v>122</c:v>
                </c:pt>
                <c:pt idx="81">
                  <c:v>236</c:v>
                </c:pt>
                <c:pt idx="82">
                  <c:v>143</c:v>
                </c:pt>
                <c:pt idx="83">
                  <c:v>354</c:v>
                </c:pt>
                <c:pt idx="84">
                  <c:v>214</c:v>
                </c:pt>
                <c:pt idx="85">
                  <c:v>225</c:v>
                </c:pt>
                <c:pt idx="86">
                  <c:v>261</c:v>
                </c:pt>
                <c:pt idx="87">
                  <c:v>277</c:v>
                </c:pt>
                <c:pt idx="88">
                  <c:v>282</c:v>
                </c:pt>
                <c:pt idx="89">
                  <c:v>322</c:v>
                </c:pt>
                <c:pt idx="90">
                  <c:v>326</c:v>
                </c:pt>
                <c:pt idx="91">
                  <c:v>421</c:v>
                </c:pt>
                <c:pt idx="92">
                  <c:v>368</c:v>
                </c:pt>
                <c:pt idx="93">
                  <c:v>279</c:v>
                </c:pt>
                <c:pt idx="94">
                  <c:v>268</c:v>
                </c:pt>
              </c:numCache>
            </c:numRef>
          </c:xVal>
          <c:yVal>
            <c:numRef>
              <c:f>Homoskedasticity!$C$6:$C$100</c:f>
              <c:numCache>
                <c:formatCode>General</c:formatCode>
                <c:ptCount val="95"/>
                <c:pt idx="0">
                  <c:v>276</c:v>
                </c:pt>
                <c:pt idx="1">
                  <c:v>410</c:v>
                </c:pt>
                <c:pt idx="2">
                  <c:v>119</c:v>
                </c:pt>
                <c:pt idx="3">
                  <c:v>334</c:v>
                </c:pt>
                <c:pt idx="4">
                  <c:v>252</c:v>
                </c:pt>
                <c:pt idx="5">
                  <c:v>209</c:v>
                </c:pt>
                <c:pt idx="6">
                  <c:v>462</c:v>
                </c:pt>
                <c:pt idx="7">
                  <c:v>342</c:v>
                </c:pt>
                <c:pt idx="8">
                  <c:v>347</c:v>
                </c:pt>
                <c:pt idx="9">
                  <c:v>313</c:v>
                </c:pt>
                <c:pt idx="10">
                  <c:v>232</c:v>
                </c:pt>
                <c:pt idx="11">
                  <c:v>163</c:v>
                </c:pt>
                <c:pt idx="12">
                  <c:v>119</c:v>
                </c:pt>
                <c:pt idx="13">
                  <c:v>304</c:v>
                </c:pt>
                <c:pt idx="14">
                  <c:v>211</c:v>
                </c:pt>
                <c:pt idx="15">
                  <c:v>286</c:v>
                </c:pt>
                <c:pt idx="16">
                  <c:v>122</c:v>
                </c:pt>
                <c:pt idx="17">
                  <c:v>443</c:v>
                </c:pt>
                <c:pt idx="18">
                  <c:v>366</c:v>
                </c:pt>
                <c:pt idx="19">
                  <c:v>244</c:v>
                </c:pt>
                <c:pt idx="20">
                  <c:v>241</c:v>
                </c:pt>
                <c:pt idx="21">
                  <c:v>237</c:v>
                </c:pt>
                <c:pt idx="22">
                  <c:v>122</c:v>
                </c:pt>
                <c:pt idx="23">
                  <c:v>129</c:v>
                </c:pt>
                <c:pt idx="24">
                  <c:v>236</c:v>
                </c:pt>
                <c:pt idx="25">
                  <c:v>251</c:v>
                </c:pt>
                <c:pt idx="26">
                  <c:v>283</c:v>
                </c:pt>
                <c:pt idx="27">
                  <c:v>225</c:v>
                </c:pt>
                <c:pt idx="28">
                  <c:v>102</c:v>
                </c:pt>
                <c:pt idx="29">
                  <c:v>180</c:v>
                </c:pt>
                <c:pt idx="30">
                  <c:v>247</c:v>
                </c:pt>
                <c:pt idx="31">
                  <c:v>343</c:v>
                </c:pt>
                <c:pt idx="32">
                  <c:v>283</c:v>
                </c:pt>
                <c:pt idx="33">
                  <c:v>253</c:v>
                </c:pt>
                <c:pt idx="34">
                  <c:v>263</c:v>
                </c:pt>
                <c:pt idx="35">
                  <c:v>291</c:v>
                </c:pt>
                <c:pt idx="36">
                  <c:v>368</c:v>
                </c:pt>
                <c:pt idx="37">
                  <c:v>206</c:v>
                </c:pt>
                <c:pt idx="38">
                  <c:v>231</c:v>
                </c:pt>
                <c:pt idx="39">
                  <c:v>389</c:v>
                </c:pt>
                <c:pt idx="40">
                  <c:v>396</c:v>
                </c:pt>
                <c:pt idx="41">
                  <c:v>339</c:v>
                </c:pt>
                <c:pt idx="42">
                  <c:v>286</c:v>
                </c:pt>
                <c:pt idx="43">
                  <c:v>146</c:v>
                </c:pt>
                <c:pt idx="44">
                  <c:v>315</c:v>
                </c:pt>
                <c:pt idx="45">
                  <c:v>183</c:v>
                </c:pt>
                <c:pt idx="46">
                  <c:v>481</c:v>
                </c:pt>
                <c:pt idx="47">
                  <c:v>349</c:v>
                </c:pt>
                <c:pt idx="48">
                  <c:v>225</c:v>
                </c:pt>
                <c:pt idx="49">
                  <c:v>217</c:v>
                </c:pt>
                <c:pt idx="50">
                  <c:v>353</c:v>
                </c:pt>
                <c:pt idx="51">
                  <c:v>314</c:v>
                </c:pt>
                <c:pt idx="52">
                  <c:v>247</c:v>
                </c:pt>
                <c:pt idx="53">
                  <c:v>410</c:v>
                </c:pt>
                <c:pt idx="54">
                  <c:v>395</c:v>
                </c:pt>
                <c:pt idx="55">
                  <c:v>416</c:v>
                </c:pt>
                <c:pt idx="56">
                  <c:v>342</c:v>
                </c:pt>
                <c:pt idx="57">
                  <c:v>446</c:v>
                </c:pt>
                <c:pt idx="58">
                  <c:v>477</c:v>
                </c:pt>
                <c:pt idx="59">
                  <c:v>444</c:v>
                </c:pt>
                <c:pt idx="60">
                  <c:v>351</c:v>
                </c:pt>
                <c:pt idx="61">
                  <c:v>165</c:v>
                </c:pt>
                <c:pt idx="62">
                  <c:v>317</c:v>
                </c:pt>
                <c:pt idx="63">
                  <c:v>250</c:v>
                </c:pt>
                <c:pt idx="64">
                  <c:v>217</c:v>
                </c:pt>
                <c:pt idx="65">
                  <c:v>138</c:v>
                </c:pt>
                <c:pt idx="66">
                  <c:v>302</c:v>
                </c:pt>
                <c:pt idx="67">
                  <c:v>311</c:v>
                </c:pt>
                <c:pt idx="68">
                  <c:v>373</c:v>
                </c:pt>
                <c:pt idx="69">
                  <c:v>196</c:v>
                </c:pt>
                <c:pt idx="70">
                  <c:v>306</c:v>
                </c:pt>
                <c:pt idx="71">
                  <c:v>302</c:v>
                </c:pt>
                <c:pt idx="72">
                  <c:v>278</c:v>
                </c:pt>
                <c:pt idx="73">
                  <c:v>429</c:v>
                </c:pt>
                <c:pt idx="74">
                  <c:v>338</c:v>
                </c:pt>
                <c:pt idx="75">
                  <c:v>261</c:v>
                </c:pt>
                <c:pt idx="76">
                  <c:v>256</c:v>
                </c:pt>
                <c:pt idx="77">
                  <c:v>183</c:v>
                </c:pt>
                <c:pt idx="78">
                  <c:v>274</c:v>
                </c:pt>
                <c:pt idx="79">
                  <c:v>182</c:v>
                </c:pt>
                <c:pt idx="80">
                  <c:v>183</c:v>
                </c:pt>
                <c:pt idx="81">
                  <c:v>309</c:v>
                </c:pt>
                <c:pt idx="82">
                  <c:v>178</c:v>
                </c:pt>
                <c:pt idx="83">
                  <c:v>458</c:v>
                </c:pt>
                <c:pt idx="84">
                  <c:v>234</c:v>
                </c:pt>
                <c:pt idx="85">
                  <c:v>306</c:v>
                </c:pt>
                <c:pt idx="86">
                  <c:v>400</c:v>
                </c:pt>
                <c:pt idx="87">
                  <c:v>337</c:v>
                </c:pt>
                <c:pt idx="88">
                  <c:v>325</c:v>
                </c:pt>
                <c:pt idx="89">
                  <c:v>329</c:v>
                </c:pt>
                <c:pt idx="90">
                  <c:v>369</c:v>
                </c:pt>
                <c:pt idx="91">
                  <c:v>457</c:v>
                </c:pt>
                <c:pt idx="92">
                  <c:v>421</c:v>
                </c:pt>
                <c:pt idx="93">
                  <c:v>282</c:v>
                </c:pt>
                <c:pt idx="94">
                  <c:v>256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FCD-4253-9334-7ADA564930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6164800"/>
        <c:axId val="466153984"/>
      </c:scatterChart>
      <c:valAx>
        <c:axId val="466164800"/>
        <c:scaling>
          <c:orientation val="minMax"/>
          <c:max val="5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Before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6153984"/>
        <c:crosses val="autoZero"/>
        <c:crossBetween val="midCat"/>
      </c:valAx>
      <c:valAx>
        <c:axId val="466153984"/>
        <c:scaling>
          <c:orientation val="minMax"/>
          <c:max val="5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After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6164800"/>
        <c:crosses val="autoZero"/>
        <c:crossBetween val="midCat"/>
        <c:majorUnit val="10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0"/>
              <a:t>Employability</a:t>
            </a:r>
            <a:r>
              <a:rPr lang="en-US" b="0" baseline="0"/>
              <a:t> Scores</a:t>
            </a:r>
            <a:endParaRPr lang="en-US" b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'Hypothesis Test'!$C$5</c:f>
              <c:strCache>
                <c:ptCount val="1"/>
                <c:pt idx="0">
                  <c:v>Employability (After)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alpha val="70000"/>
                </a:schemeClr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1">
                    <a:lumMod val="75000"/>
                  </a:schemeClr>
                </a:solidFill>
                <a:prstDash val="solid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3745819358001662"/>
                  <c:y val="0.4255092592592592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'Hypothesis Test'!$B$6:$B$100</c:f>
              <c:numCache>
                <c:formatCode>General</c:formatCode>
                <c:ptCount val="95"/>
                <c:pt idx="0">
                  <c:v>252</c:v>
                </c:pt>
                <c:pt idx="1">
                  <c:v>423</c:v>
                </c:pt>
                <c:pt idx="2">
                  <c:v>101</c:v>
                </c:pt>
                <c:pt idx="3">
                  <c:v>288</c:v>
                </c:pt>
                <c:pt idx="4">
                  <c:v>248</c:v>
                </c:pt>
                <c:pt idx="5">
                  <c:v>145</c:v>
                </c:pt>
                <c:pt idx="6">
                  <c:v>401</c:v>
                </c:pt>
                <c:pt idx="7">
                  <c:v>287</c:v>
                </c:pt>
                <c:pt idx="8">
                  <c:v>275</c:v>
                </c:pt>
                <c:pt idx="9">
                  <c:v>254</c:v>
                </c:pt>
                <c:pt idx="10">
                  <c:v>182</c:v>
                </c:pt>
                <c:pt idx="11">
                  <c:v>117</c:v>
                </c:pt>
                <c:pt idx="12">
                  <c:v>130</c:v>
                </c:pt>
                <c:pt idx="13">
                  <c:v>219</c:v>
                </c:pt>
                <c:pt idx="14">
                  <c:v>152</c:v>
                </c:pt>
                <c:pt idx="15">
                  <c:v>228</c:v>
                </c:pt>
                <c:pt idx="16">
                  <c:v>62</c:v>
                </c:pt>
                <c:pt idx="17">
                  <c:v>393</c:v>
                </c:pt>
                <c:pt idx="18">
                  <c:v>277</c:v>
                </c:pt>
                <c:pt idx="19">
                  <c:v>206</c:v>
                </c:pt>
                <c:pt idx="20">
                  <c:v>229</c:v>
                </c:pt>
                <c:pt idx="21">
                  <c:v>182</c:v>
                </c:pt>
                <c:pt idx="22">
                  <c:v>98</c:v>
                </c:pt>
                <c:pt idx="23">
                  <c:v>125</c:v>
                </c:pt>
                <c:pt idx="24">
                  <c:v>164</c:v>
                </c:pt>
                <c:pt idx="25">
                  <c:v>186</c:v>
                </c:pt>
                <c:pt idx="26">
                  <c:v>235</c:v>
                </c:pt>
                <c:pt idx="27">
                  <c:v>184</c:v>
                </c:pt>
                <c:pt idx="28">
                  <c:v>76</c:v>
                </c:pt>
                <c:pt idx="29">
                  <c:v>126</c:v>
                </c:pt>
                <c:pt idx="30">
                  <c:v>183</c:v>
                </c:pt>
                <c:pt idx="31">
                  <c:v>242</c:v>
                </c:pt>
                <c:pt idx="32">
                  <c:v>207</c:v>
                </c:pt>
                <c:pt idx="33">
                  <c:v>181</c:v>
                </c:pt>
                <c:pt idx="34">
                  <c:v>239</c:v>
                </c:pt>
                <c:pt idx="35">
                  <c:v>216</c:v>
                </c:pt>
                <c:pt idx="36">
                  <c:v>289</c:v>
                </c:pt>
                <c:pt idx="37">
                  <c:v>213</c:v>
                </c:pt>
                <c:pt idx="38">
                  <c:v>209</c:v>
                </c:pt>
                <c:pt idx="39">
                  <c:v>376</c:v>
                </c:pt>
                <c:pt idx="40">
                  <c:v>332</c:v>
                </c:pt>
                <c:pt idx="41">
                  <c:v>249</c:v>
                </c:pt>
                <c:pt idx="42">
                  <c:v>228</c:v>
                </c:pt>
                <c:pt idx="43">
                  <c:v>124</c:v>
                </c:pt>
                <c:pt idx="44">
                  <c:v>194</c:v>
                </c:pt>
                <c:pt idx="45">
                  <c:v>157</c:v>
                </c:pt>
                <c:pt idx="46">
                  <c:v>402</c:v>
                </c:pt>
                <c:pt idx="47">
                  <c:v>323</c:v>
                </c:pt>
                <c:pt idx="48">
                  <c:v>181</c:v>
                </c:pt>
                <c:pt idx="49">
                  <c:v>157</c:v>
                </c:pt>
                <c:pt idx="50">
                  <c:v>266</c:v>
                </c:pt>
                <c:pt idx="51">
                  <c:v>268</c:v>
                </c:pt>
                <c:pt idx="52">
                  <c:v>167</c:v>
                </c:pt>
                <c:pt idx="53">
                  <c:v>342</c:v>
                </c:pt>
                <c:pt idx="54">
                  <c:v>349</c:v>
                </c:pt>
                <c:pt idx="55">
                  <c:v>340</c:v>
                </c:pt>
                <c:pt idx="56">
                  <c:v>227</c:v>
                </c:pt>
                <c:pt idx="57">
                  <c:v>409</c:v>
                </c:pt>
                <c:pt idx="58">
                  <c:v>400</c:v>
                </c:pt>
                <c:pt idx="59">
                  <c:v>374</c:v>
                </c:pt>
                <c:pt idx="60">
                  <c:v>255</c:v>
                </c:pt>
                <c:pt idx="61">
                  <c:v>146</c:v>
                </c:pt>
                <c:pt idx="62">
                  <c:v>248</c:v>
                </c:pt>
                <c:pt idx="63">
                  <c:v>198</c:v>
                </c:pt>
                <c:pt idx="64">
                  <c:v>210</c:v>
                </c:pt>
                <c:pt idx="65">
                  <c:v>107</c:v>
                </c:pt>
                <c:pt idx="66">
                  <c:v>239</c:v>
                </c:pt>
                <c:pt idx="67">
                  <c:v>287</c:v>
                </c:pt>
                <c:pt idx="68">
                  <c:v>340</c:v>
                </c:pt>
                <c:pt idx="69">
                  <c:v>155</c:v>
                </c:pt>
                <c:pt idx="70">
                  <c:v>263</c:v>
                </c:pt>
                <c:pt idx="71">
                  <c:v>265</c:v>
                </c:pt>
                <c:pt idx="72">
                  <c:v>249</c:v>
                </c:pt>
                <c:pt idx="73">
                  <c:v>377</c:v>
                </c:pt>
                <c:pt idx="74">
                  <c:v>301</c:v>
                </c:pt>
                <c:pt idx="75">
                  <c:v>242</c:v>
                </c:pt>
                <c:pt idx="76">
                  <c:v>211</c:v>
                </c:pt>
                <c:pt idx="77">
                  <c:v>160</c:v>
                </c:pt>
                <c:pt idx="78">
                  <c:v>218</c:v>
                </c:pt>
                <c:pt idx="79">
                  <c:v>133</c:v>
                </c:pt>
                <c:pt idx="80">
                  <c:v>122</c:v>
                </c:pt>
                <c:pt idx="81">
                  <c:v>236</c:v>
                </c:pt>
                <c:pt idx="82">
                  <c:v>143</c:v>
                </c:pt>
                <c:pt idx="83">
                  <c:v>354</c:v>
                </c:pt>
                <c:pt idx="84">
                  <c:v>214</c:v>
                </c:pt>
                <c:pt idx="85">
                  <c:v>225</c:v>
                </c:pt>
                <c:pt idx="86">
                  <c:v>261</c:v>
                </c:pt>
                <c:pt idx="87">
                  <c:v>277</c:v>
                </c:pt>
                <c:pt idx="88">
                  <c:v>282</c:v>
                </c:pt>
                <c:pt idx="89">
                  <c:v>322</c:v>
                </c:pt>
                <c:pt idx="90">
                  <c:v>326</c:v>
                </c:pt>
                <c:pt idx="91">
                  <c:v>421</c:v>
                </c:pt>
                <c:pt idx="92">
                  <c:v>368</c:v>
                </c:pt>
                <c:pt idx="93">
                  <c:v>279</c:v>
                </c:pt>
                <c:pt idx="94">
                  <c:v>268</c:v>
                </c:pt>
              </c:numCache>
            </c:numRef>
          </c:xVal>
          <c:yVal>
            <c:numRef>
              <c:f>'Hypothesis Test'!$C$6:$C$100</c:f>
              <c:numCache>
                <c:formatCode>General</c:formatCode>
                <c:ptCount val="95"/>
                <c:pt idx="0">
                  <c:v>276</c:v>
                </c:pt>
                <c:pt idx="1">
                  <c:v>410</c:v>
                </c:pt>
                <c:pt idx="2">
                  <c:v>119</c:v>
                </c:pt>
                <c:pt idx="3">
                  <c:v>334</c:v>
                </c:pt>
                <c:pt idx="4">
                  <c:v>252</c:v>
                </c:pt>
                <c:pt idx="5">
                  <c:v>209</c:v>
                </c:pt>
                <c:pt idx="6">
                  <c:v>462</c:v>
                </c:pt>
                <c:pt idx="7">
                  <c:v>342</c:v>
                </c:pt>
                <c:pt idx="8">
                  <c:v>347</c:v>
                </c:pt>
                <c:pt idx="9">
                  <c:v>313</c:v>
                </c:pt>
                <c:pt idx="10">
                  <c:v>232</c:v>
                </c:pt>
                <c:pt idx="11">
                  <c:v>163</c:v>
                </c:pt>
                <c:pt idx="12">
                  <c:v>119</c:v>
                </c:pt>
                <c:pt idx="13">
                  <c:v>304</c:v>
                </c:pt>
                <c:pt idx="14">
                  <c:v>211</c:v>
                </c:pt>
                <c:pt idx="15">
                  <c:v>286</c:v>
                </c:pt>
                <c:pt idx="16">
                  <c:v>122</c:v>
                </c:pt>
                <c:pt idx="17">
                  <c:v>443</c:v>
                </c:pt>
                <c:pt idx="18">
                  <c:v>366</c:v>
                </c:pt>
                <c:pt idx="19">
                  <c:v>244</c:v>
                </c:pt>
                <c:pt idx="20">
                  <c:v>241</c:v>
                </c:pt>
                <c:pt idx="21">
                  <c:v>237</c:v>
                </c:pt>
                <c:pt idx="22">
                  <c:v>122</c:v>
                </c:pt>
                <c:pt idx="23">
                  <c:v>129</c:v>
                </c:pt>
                <c:pt idx="24">
                  <c:v>236</c:v>
                </c:pt>
                <c:pt idx="25">
                  <c:v>251</c:v>
                </c:pt>
                <c:pt idx="26">
                  <c:v>283</c:v>
                </c:pt>
                <c:pt idx="27">
                  <c:v>225</c:v>
                </c:pt>
                <c:pt idx="28">
                  <c:v>102</c:v>
                </c:pt>
                <c:pt idx="29">
                  <c:v>180</c:v>
                </c:pt>
                <c:pt idx="30">
                  <c:v>247</c:v>
                </c:pt>
                <c:pt idx="31">
                  <c:v>343</c:v>
                </c:pt>
                <c:pt idx="32">
                  <c:v>283</c:v>
                </c:pt>
                <c:pt idx="33">
                  <c:v>253</c:v>
                </c:pt>
                <c:pt idx="34">
                  <c:v>263</c:v>
                </c:pt>
                <c:pt idx="35">
                  <c:v>291</c:v>
                </c:pt>
                <c:pt idx="36">
                  <c:v>368</c:v>
                </c:pt>
                <c:pt idx="37">
                  <c:v>206</c:v>
                </c:pt>
                <c:pt idx="38">
                  <c:v>231</c:v>
                </c:pt>
                <c:pt idx="39">
                  <c:v>389</c:v>
                </c:pt>
                <c:pt idx="40">
                  <c:v>396</c:v>
                </c:pt>
                <c:pt idx="41">
                  <c:v>339</c:v>
                </c:pt>
                <c:pt idx="42">
                  <c:v>286</c:v>
                </c:pt>
                <c:pt idx="43">
                  <c:v>146</c:v>
                </c:pt>
                <c:pt idx="44">
                  <c:v>315</c:v>
                </c:pt>
                <c:pt idx="45">
                  <c:v>183</c:v>
                </c:pt>
                <c:pt idx="46">
                  <c:v>481</c:v>
                </c:pt>
                <c:pt idx="47">
                  <c:v>349</c:v>
                </c:pt>
                <c:pt idx="48">
                  <c:v>225</c:v>
                </c:pt>
                <c:pt idx="49">
                  <c:v>217</c:v>
                </c:pt>
                <c:pt idx="50">
                  <c:v>353</c:v>
                </c:pt>
                <c:pt idx="51">
                  <c:v>314</c:v>
                </c:pt>
                <c:pt idx="52">
                  <c:v>247</c:v>
                </c:pt>
                <c:pt idx="53">
                  <c:v>410</c:v>
                </c:pt>
                <c:pt idx="54">
                  <c:v>395</c:v>
                </c:pt>
                <c:pt idx="55">
                  <c:v>416</c:v>
                </c:pt>
                <c:pt idx="56">
                  <c:v>342</c:v>
                </c:pt>
                <c:pt idx="57">
                  <c:v>446</c:v>
                </c:pt>
                <c:pt idx="58">
                  <c:v>477</c:v>
                </c:pt>
                <c:pt idx="59">
                  <c:v>444</c:v>
                </c:pt>
                <c:pt idx="60">
                  <c:v>351</c:v>
                </c:pt>
                <c:pt idx="61">
                  <c:v>165</c:v>
                </c:pt>
                <c:pt idx="62">
                  <c:v>317</c:v>
                </c:pt>
                <c:pt idx="63">
                  <c:v>250</c:v>
                </c:pt>
                <c:pt idx="64">
                  <c:v>217</c:v>
                </c:pt>
                <c:pt idx="65">
                  <c:v>138</c:v>
                </c:pt>
                <c:pt idx="66">
                  <c:v>302</c:v>
                </c:pt>
                <c:pt idx="67">
                  <c:v>311</c:v>
                </c:pt>
                <c:pt idx="68">
                  <c:v>373</c:v>
                </c:pt>
                <c:pt idx="69">
                  <c:v>196</c:v>
                </c:pt>
                <c:pt idx="70">
                  <c:v>306</c:v>
                </c:pt>
                <c:pt idx="71">
                  <c:v>302</c:v>
                </c:pt>
                <c:pt idx="72">
                  <c:v>278</c:v>
                </c:pt>
                <c:pt idx="73">
                  <c:v>429</c:v>
                </c:pt>
                <c:pt idx="74">
                  <c:v>338</c:v>
                </c:pt>
                <c:pt idx="75">
                  <c:v>261</c:v>
                </c:pt>
                <c:pt idx="76">
                  <c:v>256</c:v>
                </c:pt>
                <c:pt idx="77">
                  <c:v>183</c:v>
                </c:pt>
                <c:pt idx="78">
                  <c:v>274</c:v>
                </c:pt>
                <c:pt idx="79">
                  <c:v>182</c:v>
                </c:pt>
                <c:pt idx="80">
                  <c:v>183</c:v>
                </c:pt>
                <c:pt idx="81">
                  <c:v>309</c:v>
                </c:pt>
                <c:pt idx="82">
                  <c:v>178</c:v>
                </c:pt>
                <c:pt idx="83">
                  <c:v>458</c:v>
                </c:pt>
                <c:pt idx="84">
                  <c:v>234</c:v>
                </c:pt>
                <c:pt idx="85">
                  <c:v>306</c:v>
                </c:pt>
                <c:pt idx="86">
                  <c:v>400</c:v>
                </c:pt>
                <c:pt idx="87">
                  <c:v>337</c:v>
                </c:pt>
                <c:pt idx="88">
                  <c:v>325</c:v>
                </c:pt>
                <c:pt idx="89">
                  <c:v>329</c:v>
                </c:pt>
                <c:pt idx="90">
                  <c:v>369</c:v>
                </c:pt>
                <c:pt idx="91">
                  <c:v>457</c:v>
                </c:pt>
                <c:pt idx="92">
                  <c:v>421</c:v>
                </c:pt>
                <c:pt idx="93">
                  <c:v>282</c:v>
                </c:pt>
                <c:pt idx="94">
                  <c:v>256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B68-4539-97AE-1313227113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6164800"/>
        <c:axId val="466153984"/>
      </c:scatterChart>
      <c:valAx>
        <c:axId val="466164800"/>
        <c:scaling>
          <c:orientation val="minMax"/>
          <c:max val="5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Before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6153984"/>
        <c:crosses val="autoZero"/>
        <c:crossBetween val="midCat"/>
      </c:valAx>
      <c:valAx>
        <c:axId val="466153984"/>
        <c:scaling>
          <c:orientation val="minMax"/>
          <c:max val="5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After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6164800"/>
        <c:crosses val="autoZero"/>
        <c:crossBetween val="midCat"/>
        <c:majorUnit val="10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'Model Evaluation'!$C$5</c:f>
              <c:strCache>
                <c:ptCount val="1"/>
                <c:pt idx="0">
                  <c:v>Employability Improvement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alpha val="70000"/>
                </a:schemeClr>
              </a:solidFill>
              <a:ln w="9525">
                <a:noFill/>
              </a:ln>
              <a:effectLst/>
            </c:spPr>
          </c:marker>
          <c:trendline>
            <c:spPr>
              <a:ln w="19050" cap="rnd" cmpd="sng">
                <a:solidFill>
                  <a:schemeClr val="accent1">
                    <a:lumMod val="75000"/>
                  </a:schemeClr>
                </a:solidFill>
                <a:prstDash val="solid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8.4919385076865396E-3"/>
                  <c:y val="0.4471095800524934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'Model Evaluation'!$B$6:$B$100</c:f>
              <c:numCache>
                <c:formatCode>General</c:formatCode>
                <c:ptCount val="95"/>
                <c:pt idx="0">
                  <c:v>68.400000000000006</c:v>
                </c:pt>
                <c:pt idx="1">
                  <c:v>62.1</c:v>
                </c:pt>
                <c:pt idx="2">
                  <c:v>70.2</c:v>
                </c:pt>
                <c:pt idx="3">
                  <c:v>75.099999999999994</c:v>
                </c:pt>
                <c:pt idx="4">
                  <c:v>60.9</c:v>
                </c:pt>
                <c:pt idx="5">
                  <c:v>74.5</c:v>
                </c:pt>
                <c:pt idx="6">
                  <c:v>76.400000000000006</c:v>
                </c:pt>
                <c:pt idx="7">
                  <c:v>82.6</c:v>
                </c:pt>
                <c:pt idx="8">
                  <c:v>76.900000000000006</c:v>
                </c:pt>
                <c:pt idx="9">
                  <c:v>83.3</c:v>
                </c:pt>
                <c:pt idx="10">
                  <c:v>75.8</c:v>
                </c:pt>
                <c:pt idx="11">
                  <c:v>76</c:v>
                </c:pt>
                <c:pt idx="12">
                  <c:v>62.8</c:v>
                </c:pt>
                <c:pt idx="13">
                  <c:v>82.8</c:v>
                </c:pt>
                <c:pt idx="14">
                  <c:v>76</c:v>
                </c:pt>
                <c:pt idx="15">
                  <c:v>76.900000000000006</c:v>
                </c:pt>
                <c:pt idx="16">
                  <c:v>75.8</c:v>
                </c:pt>
                <c:pt idx="17">
                  <c:v>78</c:v>
                </c:pt>
                <c:pt idx="18">
                  <c:v>82.4</c:v>
                </c:pt>
                <c:pt idx="19">
                  <c:v>76.2</c:v>
                </c:pt>
                <c:pt idx="20">
                  <c:v>62.5</c:v>
                </c:pt>
                <c:pt idx="21">
                  <c:v>78</c:v>
                </c:pt>
                <c:pt idx="22">
                  <c:v>66.5</c:v>
                </c:pt>
                <c:pt idx="23">
                  <c:v>63.5</c:v>
                </c:pt>
                <c:pt idx="24">
                  <c:v>82.6</c:v>
                </c:pt>
                <c:pt idx="25">
                  <c:v>79.2</c:v>
                </c:pt>
                <c:pt idx="26">
                  <c:v>75</c:v>
                </c:pt>
                <c:pt idx="27">
                  <c:v>74.400000000000006</c:v>
                </c:pt>
                <c:pt idx="28">
                  <c:v>67.900000000000006</c:v>
                </c:pt>
                <c:pt idx="29">
                  <c:v>76.8</c:v>
                </c:pt>
                <c:pt idx="30">
                  <c:v>83</c:v>
                </c:pt>
                <c:pt idx="31">
                  <c:v>88.9</c:v>
                </c:pt>
                <c:pt idx="32">
                  <c:v>76.5</c:v>
                </c:pt>
                <c:pt idx="33">
                  <c:v>79.900000000000006</c:v>
                </c:pt>
                <c:pt idx="34">
                  <c:v>70.400000000000006</c:v>
                </c:pt>
                <c:pt idx="35">
                  <c:v>83.4</c:v>
                </c:pt>
                <c:pt idx="36">
                  <c:v>79.2</c:v>
                </c:pt>
                <c:pt idx="37">
                  <c:v>61.2</c:v>
                </c:pt>
                <c:pt idx="38">
                  <c:v>64</c:v>
                </c:pt>
                <c:pt idx="39">
                  <c:v>68</c:v>
                </c:pt>
                <c:pt idx="40">
                  <c:v>78.5</c:v>
                </c:pt>
                <c:pt idx="41">
                  <c:v>83</c:v>
                </c:pt>
                <c:pt idx="42">
                  <c:v>75.2</c:v>
                </c:pt>
                <c:pt idx="43">
                  <c:v>68.099999999999994</c:v>
                </c:pt>
                <c:pt idx="44">
                  <c:v>93.6</c:v>
                </c:pt>
                <c:pt idx="45">
                  <c:v>75.599999999999994</c:v>
                </c:pt>
                <c:pt idx="46">
                  <c:v>82.3</c:v>
                </c:pt>
                <c:pt idx="47">
                  <c:v>71.400000000000006</c:v>
                </c:pt>
                <c:pt idx="48">
                  <c:v>71.900000000000006</c:v>
                </c:pt>
                <c:pt idx="49">
                  <c:v>79.099999999999994</c:v>
                </c:pt>
                <c:pt idx="50">
                  <c:v>88.7</c:v>
                </c:pt>
                <c:pt idx="51">
                  <c:v>69.400000000000006</c:v>
                </c:pt>
                <c:pt idx="52">
                  <c:v>80.3</c:v>
                </c:pt>
                <c:pt idx="53">
                  <c:v>83</c:v>
                </c:pt>
                <c:pt idx="54">
                  <c:v>74.099999999999994</c:v>
                </c:pt>
                <c:pt idx="55">
                  <c:v>79.400000000000006</c:v>
                </c:pt>
                <c:pt idx="56">
                  <c:v>88.1</c:v>
                </c:pt>
                <c:pt idx="57">
                  <c:v>74.599999999999994</c:v>
                </c:pt>
                <c:pt idx="58">
                  <c:v>87.1</c:v>
                </c:pt>
                <c:pt idx="59">
                  <c:v>79.7</c:v>
                </c:pt>
                <c:pt idx="60">
                  <c:v>82.1</c:v>
                </c:pt>
                <c:pt idx="61">
                  <c:v>70.2</c:v>
                </c:pt>
                <c:pt idx="62">
                  <c:v>81.7</c:v>
                </c:pt>
                <c:pt idx="63">
                  <c:v>76.099999999999994</c:v>
                </c:pt>
                <c:pt idx="64">
                  <c:v>65.400000000000006</c:v>
                </c:pt>
                <c:pt idx="65">
                  <c:v>70.099999999999994</c:v>
                </c:pt>
                <c:pt idx="66">
                  <c:v>75.3</c:v>
                </c:pt>
                <c:pt idx="67">
                  <c:v>68.7</c:v>
                </c:pt>
                <c:pt idx="68">
                  <c:v>75.7</c:v>
                </c:pt>
                <c:pt idx="69">
                  <c:v>68.7</c:v>
                </c:pt>
                <c:pt idx="70">
                  <c:v>70.400000000000006</c:v>
                </c:pt>
                <c:pt idx="71">
                  <c:v>68.3</c:v>
                </c:pt>
                <c:pt idx="72">
                  <c:v>71.7</c:v>
                </c:pt>
                <c:pt idx="73">
                  <c:v>70.900000000000006</c:v>
                </c:pt>
                <c:pt idx="74">
                  <c:v>66.3</c:v>
                </c:pt>
                <c:pt idx="75">
                  <c:v>65.3</c:v>
                </c:pt>
                <c:pt idx="76">
                  <c:v>75.7</c:v>
                </c:pt>
                <c:pt idx="77">
                  <c:v>66</c:v>
                </c:pt>
                <c:pt idx="78">
                  <c:v>78.900000000000006</c:v>
                </c:pt>
                <c:pt idx="79">
                  <c:v>74</c:v>
                </c:pt>
                <c:pt idx="80">
                  <c:v>74.599999999999994</c:v>
                </c:pt>
                <c:pt idx="81">
                  <c:v>79.3</c:v>
                </c:pt>
                <c:pt idx="82">
                  <c:v>70.099999999999994</c:v>
                </c:pt>
                <c:pt idx="83">
                  <c:v>88.8</c:v>
                </c:pt>
                <c:pt idx="84">
                  <c:v>66</c:v>
                </c:pt>
                <c:pt idx="85">
                  <c:v>82.9</c:v>
                </c:pt>
                <c:pt idx="86">
                  <c:v>100</c:v>
                </c:pt>
                <c:pt idx="87">
                  <c:v>75.599999999999994</c:v>
                </c:pt>
                <c:pt idx="88">
                  <c:v>67.5</c:v>
                </c:pt>
                <c:pt idx="89">
                  <c:v>68.7</c:v>
                </c:pt>
                <c:pt idx="90">
                  <c:v>76</c:v>
                </c:pt>
                <c:pt idx="91">
                  <c:v>67.7</c:v>
                </c:pt>
                <c:pt idx="92">
                  <c:v>75.3</c:v>
                </c:pt>
                <c:pt idx="93">
                  <c:v>68.099999999999994</c:v>
                </c:pt>
                <c:pt idx="94">
                  <c:v>63.3</c:v>
                </c:pt>
              </c:numCache>
            </c:numRef>
          </c:xVal>
          <c:yVal>
            <c:numRef>
              <c:f>'Model Evaluation'!$C$6:$C$100</c:f>
              <c:numCache>
                <c:formatCode>General</c:formatCode>
                <c:ptCount val="95"/>
                <c:pt idx="0">
                  <c:v>24</c:v>
                </c:pt>
                <c:pt idx="1">
                  <c:v>-13</c:v>
                </c:pt>
                <c:pt idx="2">
                  <c:v>18</c:v>
                </c:pt>
                <c:pt idx="3">
                  <c:v>46</c:v>
                </c:pt>
                <c:pt idx="4">
                  <c:v>4</c:v>
                </c:pt>
                <c:pt idx="5">
                  <c:v>64</c:v>
                </c:pt>
                <c:pt idx="6">
                  <c:v>61</c:v>
                </c:pt>
                <c:pt idx="7">
                  <c:v>55</c:v>
                </c:pt>
                <c:pt idx="8">
                  <c:v>72</c:v>
                </c:pt>
                <c:pt idx="9">
                  <c:v>59</c:v>
                </c:pt>
                <c:pt idx="10">
                  <c:v>50</c:v>
                </c:pt>
                <c:pt idx="11">
                  <c:v>46</c:v>
                </c:pt>
                <c:pt idx="12">
                  <c:v>-11</c:v>
                </c:pt>
                <c:pt idx="13">
                  <c:v>85</c:v>
                </c:pt>
                <c:pt idx="14">
                  <c:v>59</c:v>
                </c:pt>
                <c:pt idx="15">
                  <c:v>58</c:v>
                </c:pt>
                <c:pt idx="16">
                  <c:v>60</c:v>
                </c:pt>
                <c:pt idx="17">
                  <c:v>50</c:v>
                </c:pt>
                <c:pt idx="18">
                  <c:v>89</c:v>
                </c:pt>
                <c:pt idx="19">
                  <c:v>38</c:v>
                </c:pt>
                <c:pt idx="20">
                  <c:v>12</c:v>
                </c:pt>
                <c:pt idx="21">
                  <c:v>55</c:v>
                </c:pt>
                <c:pt idx="22">
                  <c:v>24</c:v>
                </c:pt>
                <c:pt idx="23">
                  <c:v>4</c:v>
                </c:pt>
                <c:pt idx="24">
                  <c:v>72</c:v>
                </c:pt>
                <c:pt idx="25">
                  <c:v>65</c:v>
                </c:pt>
                <c:pt idx="26">
                  <c:v>48</c:v>
                </c:pt>
                <c:pt idx="27">
                  <c:v>41</c:v>
                </c:pt>
                <c:pt idx="28">
                  <c:v>26</c:v>
                </c:pt>
                <c:pt idx="29">
                  <c:v>54</c:v>
                </c:pt>
                <c:pt idx="30">
                  <c:v>64</c:v>
                </c:pt>
                <c:pt idx="31">
                  <c:v>101</c:v>
                </c:pt>
                <c:pt idx="32">
                  <c:v>76</c:v>
                </c:pt>
                <c:pt idx="33">
                  <c:v>72</c:v>
                </c:pt>
                <c:pt idx="34">
                  <c:v>24</c:v>
                </c:pt>
                <c:pt idx="35">
                  <c:v>75</c:v>
                </c:pt>
                <c:pt idx="36">
                  <c:v>79</c:v>
                </c:pt>
                <c:pt idx="37">
                  <c:v>-7</c:v>
                </c:pt>
                <c:pt idx="38">
                  <c:v>22</c:v>
                </c:pt>
                <c:pt idx="39">
                  <c:v>13</c:v>
                </c:pt>
                <c:pt idx="40">
                  <c:v>64</c:v>
                </c:pt>
                <c:pt idx="41">
                  <c:v>90</c:v>
                </c:pt>
                <c:pt idx="42">
                  <c:v>58</c:v>
                </c:pt>
                <c:pt idx="43">
                  <c:v>22</c:v>
                </c:pt>
                <c:pt idx="44">
                  <c:v>121</c:v>
                </c:pt>
                <c:pt idx="45">
                  <c:v>26</c:v>
                </c:pt>
                <c:pt idx="46">
                  <c:v>79</c:v>
                </c:pt>
                <c:pt idx="47">
                  <c:v>26</c:v>
                </c:pt>
                <c:pt idx="48">
                  <c:v>44</c:v>
                </c:pt>
                <c:pt idx="49">
                  <c:v>60</c:v>
                </c:pt>
                <c:pt idx="50">
                  <c:v>87</c:v>
                </c:pt>
                <c:pt idx="51">
                  <c:v>46</c:v>
                </c:pt>
                <c:pt idx="52">
                  <c:v>80</c:v>
                </c:pt>
                <c:pt idx="53">
                  <c:v>68</c:v>
                </c:pt>
                <c:pt idx="54">
                  <c:v>46</c:v>
                </c:pt>
                <c:pt idx="55">
                  <c:v>76</c:v>
                </c:pt>
                <c:pt idx="56">
                  <c:v>115</c:v>
                </c:pt>
                <c:pt idx="57">
                  <c:v>37</c:v>
                </c:pt>
                <c:pt idx="58">
                  <c:v>77</c:v>
                </c:pt>
                <c:pt idx="59">
                  <c:v>70</c:v>
                </c:pt>
                <c:pt idx="60">
                  <c:v>96</c:v>
                </c:pt>
                <c:pt idx="61">
                  <c:v>19</c:v>
                </c:pt>
                <c:pt idx="62">
                  <c:v>69</c:v>
                </c:pt>
                <c:pt idx="63">
                  <c:v>52</c:v>
                </c:pt>
                <c:pt idx="64">
                  <c:v>7</c:v>
                </c:pt>
                <c:pt idx="65">
                  <c:v>31</c:v>
                </c:pt>
                <c:pt idx="66">
                  <c:v>63</c:v>
                </c:pt>
                <c:pt idx="67">
                  <c:v>24</c:v>
                </c:pt>
                <c:pt idx="68">
                  <c:v>33</c:v>
                </c:pt>
                <c:pt idx="69">
                  <c:v>41</c:v>
                </c:pt>
                <c:pt idx="70">
                  <c:v>43</c:v>
                </c:pt>
                <c:pt idx="71">
                  <c:v>37</c:v>
                </c:pt>
                <c:pt idx="72">
                  <c:v>29</c:v>
                </c:pt>
                <c:pt idx="73">
                  <c:v>52</c:v>
                </c:pt>
                <c:pt idx="74">
                  <c:v>37</c:v>
                </c:pt>
                <c:pt idx="75">
                  <c:v>19</c:v>
                </c:pt>
                <c:pt idx="76">
                  <c:v>45</c:v>
                </c:pt>
                <c:pt idx="77">
                  <c:v>23</c:v>
                </c:pt>
                <c:pt idx="78">
                  <c:v>56</c:v>
                </c:pt>
                <c:pt idx="79">
                  <c:v>49</c:v>
                </c:pt>
                <c:pt idx="80">
                  <c:v>61</c:v>
                </c:pt>
                <c:pt idx="81">
                  <c:v>73</c:v>
                </c:pt>
                <c:pt idx="82">
                  <c:v>35</c:v>
                </c:pt>
                <c:pt idx="83">
                  <c:v>104</c:v>
                </c:pt>
                <c:pt idx="84">
                  <c:v>20</c:v>
                </c:pt>
                <c:pt idx="85">
                  <c:v>81</c:v>
                </c:pt>
                <c:pt idx="86">
                  <c:v>139</c:v>
                </c:pt>
                <c:pt idx="87">
                  <c:v>60</c:v>
                </c:pt>
                <c:pt idx="88">
                  <c:v>43</c:v>
                </c:pt>
                <c:pt idx="89">
                  <c:v>7</c:v>
                </c:pt>
                <c:pt idx="90">
                  <c:v>43</c:v>
                </c:pt>
                <c:pt idx="91">
                  <c:v>36</c:v>
                </c:pt>
                <c:pt idx="92">
                  <c:v>53</c:v>
                </c:pt>
                <c:pt idx="93">
                  <c:v>3</c:v>
                </c:pt>
                <c:pt idx="94">
                  <c:v>-12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ECB-4A2B-82B9-F7093D38DE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6152320"/>
        <c:axId val="466144416"/>
      </c:scatterChart>
      <c:valAx>
        <c:axId val="466152320"/>
        <c:scaling>
          <c:orientation val="minMax"/>
          <c:max val="100"/>
          <c:min val="60"/>
        </c:scaling>
        <c:delete val="0"/>
        <c:axPos val="b"/>
        <c:title>
          <c:tx>
            <c:strRef>
              <c:f>'Model Evaluation'!$B$5</c:f>
              <c:strCache>
                <c:ptCount val="1"/>
                <c:pt idx="0">
                  <c:v>Undergrad Grade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6144416"/>
        <c:crosses val="autoZero"/>
        <c:crossBetween val="midCat"/>
      </c:valAx>
      <c:valAx>
        <c:axId val="466144416"/>
        <c:scaling>
          <c:orientation val="minMax"/>
        </c:scaling>
        <c:delete val="0"/>
        <c:axPos val="l"/>
        <c:title>
          <c:tx>
            <c:strRef>
              <c:f>'Model Evaluation'!$C$5</c:f>
              <c:strCache>
                <c:ptCount val="1"/>
                <c:pt idx="0">
                  <c:v>Employability Improvement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61523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Employability (Before)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'Analysis ToolPak'!$B$6:$B$100</c:f>
              <c:numCache>
                <c:formatCode>General</c:formatCode>
                <c:ptCount val="95"/>
                <c:pt idx="0">
                  <c:v>252</c:v>
                </c:pt>
                <c:pt idx="1">
                  <c:v>423</c:v>
                </c:pt>
                <c:pt idx="2">
                  <c:v>101</c:v>
                </c:pt>
                <c:pt idx="3">
                  <c:v>288</c:v>
                </c:pt>
                <c:pt idx="4">
                  <c:v>248</c:v>
                </c:pt>
                <c:pt idx="5">
                  <c:v>145</c:v>
                </c:pt>
                <c:pt idx="6">
                  <c:v>401</c:v>
                </c:pt>
                <c:pt idx="7">
                  <c:v>287</c:v>
                </c:pt>
                <c:pt idx="8">
                  <c:v>275</c:v>
                </c:pt>
                <c:pt idx="9">
                  <c:v>254</c:v>
                </c:pt>
                <c:pt idx="10">
                  <c:v>182</c:v>
                </c:pt>
                <c:pt idx="11">
                  <c:v>117</c:v>
                </c:pt>
                <c:pt idx="12">
                  <c:v>130</c:v>
                </c:pt>
                <c:pt idx="13">
                  <c:v>219</c:v>
                </c:pt>
                <c:pt idx="14">
                  <c:v>152</c:v>
                </c:pt>
                <c:pt idx="15">
                  <c:v>228</c:v>
                </c:pt>
                <c:pt idx="16">
                  <c:v>62</c:v>
                </c:pt>
                <c:pt idx="17">
                  <c:v>393</c:v>
                </c:pt>
                <c:pt idx="18">
                  <c:v>277</c:v>
                </c:pt>
                <c:pt idx="19">
                  <c:v>206</c:v>
                </c:pt>
                <c:pt idx="20">
                  <c:v>229</c:v>
                </c:pt>
                <c:pt idx="21">
                  <c:v>182</c:v>
                </c:pt>
                <c:pt idx="22">
                  <c:v>98</c:v>
                </c:pt>
                <c:pt idx="23">
                  <c:v>125</c:v>
                </c:pt>
                <c:pt idx="24">
                  <c:v>164</c:v>
                </c:pt>
                <c:pt idx="25">
                  <c:v>186</c:v>
                </c:pt>
                <c:pt idx="26">
                  <c:v>235</c:v>
                </c:pt>
                <c:pt idx="27">
                  <c:v>184</c:v>
                </c:pt>
                <c:pt idx="28">
                  <c:v>76</c:v>
                </c:pt>
                <c:pt idx="29">
                  <c:v>126</c:v>
                </c:pt>
                <c:pt idx="30">
                  <c:v>183</c:v>
                </c:pt>
                <c:pt idx="31">
                  <c:v>242</c:v>
                </c:pt>
                <c:pt idx="32">
                  <c:v>207</c:v>
                </c:pt>
                <c:pt idx="33">
                  <c:v>181</c:v>
                </c:pt>
                <c:pt idx="34">
                  <c:v>239</c:v>
                </c:pt>
                <c:pt idx="35">
                  <c:v>216</c:v>
                </c:pt>
                <c:pt idx="36">
                  <c:v>289</c:v>
                </c:pt>
                <c:pt idx="37">
                  <c:v>213</c:v>
                </c:pt>
                <c:pt idx="38">
                  <c:v>209</c:v>
                </c:pt>
                <c:pt idx="39">
                  <c:v>376</c:v>
                </c:pt>
                <c:pt idx="40">
                  <c:v>332</c:v>
                </c:pt>
                <c:pt idx="41">
                  <c:v>249</c:v>
                </c:pt>
                <c:pt idx="42">
                  <c:v>228</c:v>
                </c:pt>
                <c:pt idx="43">
                  <c:v>124</c:v>
                </c:pt>
                <c:pt idx="44">
                  <c:v>194</c:v>
                </c:pt>
                <c:pt idx="45">
                  <c:v>157</c:v>
                </c:pt>
                <c:pt idx="46">
                  <c:v>402</c:v>
                </c:pt>
                <c:pt idx="47">
                  <c:v>323</c:v>
                </c:pt>
                <c:pt idx="48">
                  <c:v>181</c:v>
                </c:pt>
                <c:pt idx="49">
                  <c:v>157</c:v>
                </c:pt>
                <c:pt idx="50">
                  <c:v>266</c:v>
                </c:pt>
                <c:pt idx="51">
                  <c:v>268</c:v>
                </c:pt>
                <c:pt idx="52">
                  <c:v>167</c:v>
                </c:pt>
                <c:pt idx="53">
                  <c:v>342</c:v>
                </c:pt>
                <c:pt idx="54">
                  <c:v>349</c:v>
                </c:pt>
                <c:pt idx="55">
                  <c:v>340</c:v>
                </c:pt>
                <c:pt idx="56">
                  <c:v>227</c:v>
                </c:pt>
                <c:pt idx="57">
                  <c:v>409</c:v>
                </c:pt>
                <c:pt idx="58">
                  <c:v>400</c:v>
                </c:pt>
                <c:pt idx="59">
                  <c:v>374</c:v>
                </c:pt>
                <c:pt idx="60">
                  <c:v>255</c:v>
                </c:pt>
                <c:pt idx="61">
                  <c:v>146</c:v>
                </c:pt>
                <c:pt idx="62">
                  <c:v>248</c:v>
                </c:pt>
                <c:pt idx="63">
                  <c:v>198</c:v>
                </c:pt>
                <c:pt idx="64">
                  <c:v>210</c:v>
                </c:pt>
                <c:pt idx="65">
                  <c:v>107</c:v>
                </c:pt>
                <c:pt idx="66">
                  <c:v>239</c:v>
                </c:pt>
                <c:pt idx="67">
                  <c:v>287</c:v>
                </c:pt>
                <c:pt idx="68">
                  <c:v>340</c:v>
                </c:pt>
                <c:pt idx="69">
                  <c:v>155</c:v>
                </c:pt>
                <c:pt idx="70">
                  <c:v>263</c:v>
                </c:pt>
                <c:pt idx="71">
                  <c:v>265</c:v>
                </c:pt>
                <c:pt idx="72">
                  <c:v>249</c:v>
                </c:pt>
                <c:pt idx="73">
                  <c:v>377</c:v>
                </c:pt>
                <c:pt idx="74">
                  <c:v>301</c:v>
                </c:pt>
                <c:pt idx="75">
                  <c:v>242</c:v>
                </c:pt>
                <c:pt idx="76">
                  <c:v>211</c:v>
                </c:pt>
                <c:pt idx="77">
                  <c:v>160</c:v>
                </c:pt>
                <c:pt idx="78">
                  <c:v>218</c:v>
                </c:pt>
                <c:pt idx="79">
                  <c:v>133</c:v>
                </c:pt>
                <c:pt idx="80">
                  <c:v>122</c:v>
                </c:pt>
                <c:pt idx="81">
                  <c:v>236</c:v>
                </c:pt>
                <c:pt idx="82">
                  <c:v>143</c:v>
                </c:pt>
                <c:pt idx="83">
                  <c:v>354</c:v>
                </c:pt>
                <c:pt idx="84">
                  <c:v>214</c:v>
                </c:pt>
                <c:pt idx="85">
                  <c:v>225</c:v>
                </c:pt>
                <c:pt idx="86">
                  <c:v>261</c:v>
                </c:pt>
                <c:pt idx="87">
                  <c:v>277</c:v>
                </c:pt>
                <c:pt idx="88">
                  <c:v>282</c:v>
                </c:pt>
                <c:pt idx="89">
                  <c:v>322</c:v>
                </c:pt>
                <c:pt idx="90">
                  <c:v>326</c:v>
                </c:pt>
                <c:pt idx="91">
                  <c:v>421</c:v>
                </c:pt>
                <c:pt idx="92">
                  <c:v>368</c:v>
                </c:pt>
                <c:pt idx="93">
                  <c:v>279</c:v>
                </c:pt>
                <c:pt idx="94">
                  <c:v>268</c:v>
                </c:pt>
              </c:numCache>
            </c:numRef>
          </c:xVal>
          <c:yVal>
            <c:numRef>
              <c:f>'Analysis ToolPak'!$P$25:$P$119</c:f>
              <c:numCache>
                <c:formatCode>General</c:formatCode>
                <c:ptCount val="95"/>
                <c:pt idx="0">
                  <c:v>-25.835941312263913</c:v>
                </c:pt>
                <c:pt idx="1">
                  <c:v>-68.404145505237977</c:v>
                </c:pt>
                <c:pt idx="2">
                  <c:v>-26.918989071684507</c:v>
                </c:pt>
                <c:pt idx="3">
                  <c:v>-5.008194826574254</c:v>
                </c:pt>
                <c:pt idx="4">
                  <c:v>-45.705690921784992</c:v>
                </c:pt>
                <c:pt idx="5">
                  <c:v>17.648256633047311</c:v>
                </c:pt>
                <c:pt idx="6">
                  <c:v>6.3122316423961138</c:v>
                </c:pt>
                <c:pt idx="7">
                  <c:v>4.0243677710454904</c:v>
                </c:pt>
                <c:pt idx="8">
                  <c:v>21.415118942482252</c:v>
                </c:pt>
                <c:pt idx="9">
                  <c:v>9.0989334924965988</c:v>
                </c:pt>
                <c:pt idx="10">
                  <c:v>2.4434405211172532</c:v>
                </c:pt>
                <c:pt idx="11">
                  <c:v>0.56000936639978249</c:v>
                </c:pt>
                <c:pt idx="12">
                  <c:v>-56.863304402656723</c:v>
                </c:pt>
                <c:pt idx="13">
                  <c:v>36.238624409187196</c:v>
                </c:pt>
                <c:pt idx="14">
                  <c:v>12.420318449709185</c:v>
                </c:pt>
                <c:pt idx="15">
                  <c:v>8.9455610306096105</c:v>
                </c:pt>
                <c:pt idx="16">
                  <c:v>16.350952235484996</c:v>
                </c:pt>
                <c:pt idx="17">
                  <c:v>-4.4272675766460452</c:v>
                </c:pt>
                <c:pt idx="18">
                  <c:v>38.349993747242763</c:v>
                </c:pt>
                <c:pt idx="19">
                  <c:v>-10.338061821756298</c:v>
                </c:pt>
                <c:pt idx="20">
                  <c:v>-37.087001567010134</c:v>
                </c:pt>
                <c:pt idx="21">
                  <c:v>7.4434405211172532</c:v>
                </c:pt>
                <c:pt idx="22">
                  <c:v>-20.821301278825331</c:v>
                </c:pt>
                <c:pt idx="23">
                  <c:v>-41.700491414558059</c:v>
                </c:pt>
                <c:pt idx="24">
                  <c:v>25.029567278272424</c:v>
                </c:pt>
                <c:pt idx="25">
                  <c:v>17.313190130638333</c:v>
                </c:pt>
                <c:pt idx="26">
                  <c:v>-1.2823771527284862</c:v>
                </c:pt>
                <c:pt idx="27">
                  <c:v>-6.6216846741222071</c:v>
                </c:pt>
                <c:pt idx="28">
                  <c:v>-18.10492413119124</c:v>
                </c:pt>
                <c:pt idx="29">
                  <c:v>8.2669459878221971</c:v>
                </c:pt>
                <c:pt idx="30">
                  <c:v>16.410877923497509</c:v>
                </c:pt>
                <c:pt idx="31">
                  <c:v>51.48968466393336</c:v>
                </c:pt>
                <c:pt idx="32">
                  <c:v>27.629375580623957</c:v>
                </c:pt>
                <c:pt idx="33">
                  <c:v>24.476003118736969</c:v>
                </c:pt>
                <c:pt idx="34">
                  <c:v>-25.412627543207407</c:v>
                </c:pt>
                <c:pt idx="35">
                  <c:v>26.336312202046372</c:v>
                </c:pt>
                <c:pt idx="36">
                  <c:v>27.959242575806002</c:v>
                </c:pt>
                <c:pt idx="37">
                  <c:v>-55.566000005094395</c:v>
                </c:pt>
                <c:pt idx="38">
                  <c:v>-26.435749614615474</c:v>
                </c:pt>
                <c:pt idx="39">
                  <c:v>-40.873703417110619</c:v>
                </c:pt>
                <c:pt idx="40">
                  <c:v>11.559050878157564</c:v>
                </c:pt>
                <c:pt idx="41">
                  <c:v>40.261746480595264</c:v>
                </c:pt>
                <c:pt idx="42">
                  <c:v>8.9455610306096105</c:v>
                </c:pt>
                <c:pt idx="43">
                  <c:v>-23.667928816938343</c:v>
                </c:pt>
                <c:pt idx="44">
                  <c:v>73.052689349680463</c:v>
                </c:pt>
                <c:pt idx="45">
                  <c:v>-20.742494538389479</c:v>
                </c:pt>
                <c:pt idx="46">
                  <c:v>24.279669044776369</c:v>
                </c:pt>
                <c:pt idx="47">
                  <c:v>-26.147885743264851</c:v>
                </c:pt>
                <c:pt idx="48">
                  <c:v>-3.5239968812630309</c:v>
                </c:pt>
                <c:pt idx="49">
                  <c:v>13.257505461610521</c:v>
                </c:pt>
                <c:pt idx="50">
                  <c:v>36.708182321059837</c:v>
                </c:pt>
                <c:pt idx="51">
                  <c:v>-4.3569428741796514</c:v>
                </c:pt>
                <c:pt idx="52">
                  <c:v>32.931879485413219</c:v>
                </c:pt>
                <c:pt idx="53">
                  <c:v>15.233424901960234</c:v>
                </c:pt>
                <c:pt idx="54">
                  <c:v>-6.9945132813778628</c:v>
                </c:pt>
                <c:pt idx="55">
                  <c:v>23.298550097199723</c:v>
                </c:pt>
                <c:pt idx="56">
                  <c:v>65.978123628229355</c:v>
                </c:pt>
                <c:pt idx="57">
                  <c:v>-17.948269138561727</c:v>
                </c:pt>
                <c:pt idx="58">
                  <c:v>22.344794240015858</c:v>
                </c:pt>
                <c:pt idx="59">
                  <c:v>16.19142177812887</c:v>
                </c:pt>
                <c:pt idx="60">
                  <c:v>46.066370894876854</c:v>
                </c:pt>
                <c:pt idx="61">
                  <c:v>-27.384305964572434</c:v>
                </c:pt>
                <c:pt idx="62">
                  <c:v>19.294309078215008</c:v>
                </c:pt>
                <c:pt idx="63">
                  <c:v>3.9224389592015427</c:v>
                </c:pt>
                <c:pt idx="64">
                  <c:v>-41.468312212235219</c:v>
                </c:pt>
                <c:pt idx="65">
                  <c:v>-14.114364657402916</c:v>
                </c:pt>
                <c:pt idx="66">
                  <c:v>13.587372456792593</c:v>
                </c:pt>
                <c:pt idx="67">
                  <c:v>-26.97563222895451</c:v>
                </c:pt>
                <c:pt idx="68">
                  <c:v>-19.701449902800277</c:v>
                </c:pt>
                <c:pt idx="69">
                  <c:v>-5.6773693431500192</c:v>
                </c:pt>
                <c:pt idx="70">
                  <c:v>-7.1941298860809866</c:v>
                </c:pt>
                <c:pt idx="71">
                  <c:v>-13.259255081320418</c:v>
                </c:pt>
                <c:pt idx="72">
                  <c:v>-20.738253519404736</c:v>
                </c:pt>
                <c:pt idx="73">
                  <c:v>-1.9062660147303632</c:v>
                </c:pt>
                <c:pt idx="74">
                  <c:v>-14.43150859563076</c:v>
                </c:pt>
                <c:pt idx="75">
                  <c:v>-30.51031533606664</c:v>
                </c:pt>
                <c:pt idx="76">
                  <c:v>-3.5008748098549631</c:v>
                </c:pt>
                <c:pt idx="77">
                  <c:v>-23.840182331248656</c:v>
                </c:pt>
                <c:pt idx="78">
                  <c:v>7.2711870068069402</c:v>
                </c:pt>
                <c:pt idx="79">
                  <c:v>3.039007804484072</c:v>
                </c:pt>
                <c:pt idx="80">
                  <c:v>15.397196378301118</c:v>
                </c:pt>
                <c:pt idx="81">
                  <c:v>23.685060249651769</c:v>
                </c:pt>
                <c:pt idx="82">
                  <c:v>-11.286618171713229</c:v>
                </c:pt>
                <c:pt idx="83">
                  <c:v>50.842673730523472</c:v>
                </c:pt>
                <c:pt idx="84">
                  <c:v>-28.598562602714139</c:v>
                </c:pt>
                <c:pt idx="85">
                  <c:v>32.043248823468787</c:v>
                </c:pt>
                <c:pt idx="86">
                  <c:v>88.870995309158502</c:v>
                </c:pt>
                <c:pt idx="87">
                  <c:v>9.3499937472427632</c:v>
                </c:pt>
                <c:pt idx="88">
                  <c:v>-7.8128192408559016</c:v>
                </c:pt>
                <c:pt idx="89">
                  <c:v>-45.115323145645107</c:v>
                </c:pt>
                <c:pt idx="90">
                  <c:v>-9.2455735361240272</c:v>
                </c:pt>
                <c:pt idx="91">
                  <c:v>-19.339020309998489</c:v>
                </c:pt>
                <c:pt idx="92">
                  <c:v>-0.61320263615277781</c:v>
                </c:pt>
                <c:pt idx="93">
                  <c:v>-47.715131447996669</c:v>
                </c:pt>
                <c:pt idx="94">
                  <c:v>-62.356942874179651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AF9-A34E-B576-797C33CA7C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18742464"/>
        <c:axId val="1718744176"/>
      </c:scatterChart>
      <c:valAx>
        <c:axId val="17187424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Employability (Before)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718744176"/>
        <c:crosses val="autoZero"/>
        <c:crossBetween val="midCat"/>
      </c:valAx>
      <c:valAx>
        <c:axId val="17187441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718742464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Undergrad Grade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'Multiple Linear Regression'!$B$6:$B$100</c:f>
              <c:numCache>
                <c:formatCode>General</c:formatCode>
                <c:ptCount val="95"/>
                <c:pt idx="0">
                  <c:v>68.400000000000006</c:v>
                </c:pt>
                <c:pt idx="1">
                  <c:v>62.1</c:v>
                </c:pt>
                <c:pt idx="2">
                  <c:v>70.2</c:v>
                </c:pt>
                <c:pt idx="3">
                  <c:v>75.099999999999994</c:v>
                </c:pt>
                <c:pt idx="4">
                  <c:v>60.9</c:v>
                </c:pt>
                <c:pt idx="5">
                  <c:v>74.5</c:v>
                </c:pt>
                <c:pt idx="6">
                  <c:v>76.400000000000006</c:v>
                </c:pt>
                <c:pt idx="7">
                  <c:v>82.6</c:v>
                </c:pt>
                <c:pt idx="8">
                  <c:v>76.900000000000006</c:v>
                </c:pt>
                <c:pt idx="9">
                  <c:v>83.3</c:v>
                </c:pt>
                <c:pt idx="10">
                  <c:v>75.8</c:v>
                </c:pt>
                <c:pt idx="11">
                  <c:v>76</c:v>
                </c:pt>
                <c:pt idx="12">
                  <c:v>62.8</c:v>
                </c:pt>
                <c:pt idx="13">
                  <c:v>82.8</c:v>
                </c:pt>
                <c:pt idx="14">
                  <c:v>76</c:v>
                </c:pt>
                <c:pt idx="15">
                  <c:v>76.900000000000006</c:v>
                </c:pt>
                <c:pt idx="16">
                  <c:v>75.8</c:v>
                </c:pt>
                <c:pt idx="17">
                  <c:v>78</c:v>
                </c:pt>
                <c:pt idx="18">
                  <c:v>82.4</c:v>
                </c:pt>
                <c:pt idx="19">
                  <c:v>76.2</c:v>
                </c:pt>
                <c:pt idx="20">
                  <c:v>62.5</c:v>
                </c:pt>
                <c:pt idx="21">
                  <c:v>78</c:v>
                </c:pt>
                <c:pt idx="22">
                  <c:v>66.5</c:v>
                </c:pt>
                <c:pt idx="23">
                  <c:v>63.5</c:v>
                </c:pt>
                <c:pt idx="24">
                  <c:v>82.6</c:v>
                </c:pt>
                <c:pt idx="25">
                  <c:v>79.2</c:v>
                </c:pt>
                <c:pt idx="26">
                  <c:v>75</c:v>
                </c:pt>
                <c:pt idx="27">
                  <c:v>74.400000000000006</c:v>
                </c:pt>
                <c:pt idx="28">
                  <c:v>67.900000000000006</c:v>
                </c:pt>
                <c:pt idx="29">
                  <c:v>76.8</c:v>
                </c:pt>
                <c:pt idx="30">
                  <c:v>83</c:v>
                </c:pt>
                <c:pt idx="31">
                  <c:v>88.9</c:v>
                </c:pt>
                <c:pt idx="32">
                  <c:v>76.5</c:v>
                </c:pt>
                <c:pt idx="33">
                  <c:v>79.900000000000006</c:v>
                </c:pt>
                <c:pt idx="34">
                  <c:v>70.400000000000006</c:v>
                </c:pt>
                <c:pt idx="35">
                  <c:v>83.4</c:v>
                </c:pt>
                <c:pt idx="36">
                  <c:v>79.2</c:v>
                </c:pt>
                <c:pt idx="37">
                  <c:v>61.2</c:v>
                </c:pt>
                <c:pt idx="38">
                  <c:v>64</c:v>
                </c:pt>
                <c:pt idx="39">
                  <c:v>68</c:v>
                </c:pt>
                <c:pt idx="40">
                  <c:v>78.5</c:v>
                </c:pt>
                <c:pt idx="41">
                  <c:v>83</c:v>
                </c:pt>
                <c:pt idx="42">
                  <c:v>75.2</c:v>
                </c:pt>
                <c:pt idx="43">
                  <c:v>68.099999999999994</c:v>
                </c:pt>
                <c:pt idx="44">
                  <c:v>93.6</c:v>
                </c:pt>
                <c:pt idx="45">
                  <c:v>75.599999999999994</c:v>
                </c:pt>
                <c:pt idx="46">
                  <c:v>82.3</c:v>
                </c:pt>
                <c:pt idx="47">
                  <c:v>71.400000000000006</c:v>
                </c:pt>
                <c:pt idx="48">
                  <c:v>71.900000000000006</c:v>
                </c:pt>
                <c:pt idx="49">
                  <c:v>79.099999999999994</c:v>
                </c:pt>
                <c:pt idx="50">
                  <c:v>88.7</c:v>
                </c:pt>
                <c:pt idx="51">
                  <c:v>69.400000000000006</c:v>
                </c:pt>
                <c:pt idx="52">
                  <c:v>80.3</c:v>
                </c:pt>
                <c:pt idx="53">
                  <c:v>83</c:v>
                </c:pt>
                <c:pt idx="54">
                  <c:v>74.099999999999994</c:v>
                </c:pt>
                <c:pt idx="55">
                  <c:v>79.400000000000006</c:v>
                </c:pt>
                <c:pt idx="56">
                  <c:v>88.1</c:v>
                </c:pt>
                <c:pt idx="57">
                  <c:v>74.599999999999994</c:v>
                </c:pt>
                <c:pt idx="58">
                  <c:v>87.1</c:v>
                </c:pt>
                <c:pt idx="59">
                  <c:v>79.7</c:v>
                </c:pt>
                <c:pt idx="60">
                  <c:v>82.1</c:v>
                </c:pt>
                <c:pt idx="61">
                  <c:v>70.2</c:v>
                </c:pt>
                <c:pt idx="62">
                  <c:v>81.7</c:v>
                </c:pt>
                <c:pt idx="63">
                  <c:v>76.099999999999994</c:v>
                </c:pt>
                <c:pt idx="64">
                  <c:v>65.400000000000006</c:v>
                </c:pt>
                <c:pt idx="65">
                  <c:v>70.099999999999994</c:v>
                </c:pt>
                <c:pt idx="66">
                  <c:v>75.3</c:v>
                </c:pt>
                <c:pt idx="67">
                  <c:v>68.7</c:v>
                </c:pt>
                <c:pt idx="68">
                  <c:v>75.7</c:v>
                </c:pt>
                <c:pt idx="69">
                  <c:v>68.7</c:v>
                </c:pt>
                <c:pt idx="70">
                  <c:v>70.400000000000006</c:v>
                </c:pt>
                <c:pt idx="71">
                  <c:v>68.3</c:v>
                </c:pt>
                <c:pt idx="72">
                  <c:v>71.7</c:v>
                </c:pt>
                <c:pt idx="73">
                  <c:v>70.900000000000006</c:v>
                </c:pt>
                <c:pt idx="74">
                  <c:v>66.3</c:v>
                </c:pt>
                <c:pt idx="75">
                  <c:v>65.3</c:v>
                </c:pt>
                <c:pt idx="76">
                  <c:v>75.7</c:v>
                </c:pt>
                <c:pt idx="77">
                  <c:v>66</c:v>
                </c:pt>
                <c:pt idx="78">
                  <c:v>78.900000000000006</c:v>
                </c:pt>
                <c:pt idx="79">
                  <c:v>74</c:v>
                </c:pt>
                <c:pt idx="80">
                  <c:v>74.599999999999994</c:v>
                </c:pt>
                <c:pt idx="81">
                  <c:v>79.3</c:v>
                </c:pt>
                <c:pt idx="82">
                  <c:v>70.099999999999994</c:v>
                </c:pt>
                <c:pt idx="83">
                  <c:v>88.8</c:v>
                </c:pt>
                <c:pt idx="84">
                  <c:v>66</c:v>
                </c:pt>
                <c:pt idx="85">
                  <c:v>82.9</c:v>
                </c:pt>
                <c:pt idx="86">
                  <c:v>100</c:v>
                </c:pt>
                <c:pt idx="87">
                  <c:v>75.599999999999994</c:v>
                </c:pt>
                <c:pt idx="88">
                  <c:v>67.5</c:v>
                </c:pt>
                <c:pt idx="89">
                  <c:v>68.7</c:v>
                </c:pt>
                <c:pt idx="90">
                  <c:v>76</c:v>
                </c:pt>
                <c:pt idx="91">
                  <c:v>67.7</c:v>
                </c:pt>
                <c:pt idx="92">
                  <c:v>75.3</c:v>
                </c:pt>
                <c:pt idx="93">
                  <c:v>68.099999999999994</c:v>
                </c:pt>
                <c:pt idx="94">
                  <c:v>63.3</c:v>
                </c:pt>
              </c:numCache>
            </c:numRef>
          </c:xVal>
          <c:yVal>
            <c:numRef>
              <c:f>'Multiple Linear Regression'!$H$30:$H$124</c:f>
              <c:numCache>
                <c:formatCode>General</c:formatCode>
                <c:ptCount val="95"/>
                <c:pt idx="0">
                  <c:v>-1.3577160032980373</c:v>
                </c:pt>
                <c:pt idx="1">
                  <c:v>-14.087522741904422</c:v>
                </c:pt>
                <c:pt idx="2">
                  <c:v>-15.05361145889654</c:v>
                </c:pt>
                <c:pt idx="3">
                  <c:v>-3.5445793025697299</c:v>
                </c:pt>
                <c:pt idx="4">
                  <c:v>5.9877646069959667</c:v>
                </c:pt>
                <c:pt idx="5">
                  <c:v>15.579268662110792</c:v>
                </c:pt>
                <c:pt idx="6">
                  <c:v>7.5528710284963836</c:v>
                </c:pt>
                <c:pt idx="7">
                  <c:v>-21.92733880563577</c:v>
                </c:pt>
                <c:pt idx="8">
                  <c:v>15.788422682340126</c:v>
                </c:pt>
                <c:pt idx="9">
                  <c:v>-20.72840784555234</c:v>
                </c:pt>
                <c:pt idx="10">
                  <c:v>-2.8899201769580998</c:v>
                </c:pt>
                <c:pt idx="11">
                  <c:v>-8.1045538823149741</c:v>
                </c:pt>
                <c:pt idx="12">
                  <c:v>-16.827094205967171</c:v>
                </c:pt>
                <c:pt idx="13">
                  <c:v>6.8356601533441221</c:v>
                </c:pt>
                <c:pt idx="14">
                  <c:v>5.1563983670893094</c:v>
                </c:pt>
                <c:pt idx="15">
                  <c:v>1.4380010902829099</c:v>
                </c:pt>
                <c:pt idx="16">
                  <c:v>6.2153863965128693</c:v>
                </c:pt>
                <c:pt idx="17">
                  <c:v>-9.3468399945013516</c:v>
                </c:pt>
                <c:pt idx="18">
                  <c:v>12.728111508140444</c:v>
                </c:pt>
                <c:pt idx="19">
                  <c:v>-16.17099769029295</c:v>
                </c:pt>
                <c:pt idx="20">
                  <c:v>8.0060400198997286</c:v>
                </c:pt>
                <c:pt idx="21">
                  <c:v>-5.9200092694815396</c:v>
                </c:pt>
                <c:pt idx="22">
                  <c:v>4.4291710428660025</c:v>
                </c:pt>
                <c:pt idx="23">
                  <c:v>-4.4194014463603253</c:v>
                </c:pt>
                <c:pt idx="24">
                  <c:v>-5.8443995678280203</c:v>
                </c:pt>
                <c:pt idx="25">
                  <c:v>-0.27023475118576812</c:v>
                </c:pt>
                <c:pt idx="26">
                  <c:v>-1.5747315162932409</c:v>
                </c:pt>
                <c:pt idx="27">
                  <c:v>-6.7649519246071463</c:v>
                </c:pt>
                <c:pt idx="28">
                  <c:v>1.155087219426818</c:v>
                </c:pt>
                <c:pt idx="29">
                  <c:v>-2.9574842726065356</c:v>
                </c:pt>
                <c:pt idx="30">
                  <c:v>-15.162755973934907</c:v>
                </c:pt>
                <c:pt idx="31">
                  <c:v>0.74189603082601252</c:v>
                </c:pt>
                <c:pt idx="32">
                  <c:v>20.741445939280993</c:v>
                </c:pt>
                <c:pt idx="33">
                  <c:v>4.1374580084210777</c:v>
                </c:pt>
                <c:pt idx="34">
                  <c:v>-8.754722117708468</c:v>
                </c:pt>
                <c:pt idx="35">
                  <c:v>-5.376731480280057</c:v>
                </c:pt>
                <c:pt idx="36">
                  <c:v>14.497710439918308</c:v>
                </c:pt>
                <c:pt idx="37">
                  <c:v>-6.368199791388804</c:v>
                </c:pt>
                <c:pt idx="38">
                  <c:v>12.381863703909232</c:v>
                </c:pt>
                <c:pt idx="39">
                  <c:v>-9.9731832639107552</c:v>
                </c:pt>
                <c:pt idx="40">
                  <c:v>2.3733372653789502</c:v>
                </c:pt>
                <c:pt idx="41">
                  <c:v>11.329325410656054</c:v>
                </c:pt>
                <c:pt idx="42">
                  <c:v>7.6430699345056041</c:v>
                </c:pt>
                <c:pt idx="43">
                  <c:v>-3.2170435092818366</c:v>
                </c:pt>
                <c:pt idx="44">
                  <c:v>3.2288283261871698</c:v>
                </c:pt>
                <c:pt idx="45">
                  <c:v>-26.346306541497995</c:v>
                </c:pt>
                <c:pt idx="46">
                  <c:v>4.0250878771016687</c:v>
                </c:pt>
                <c:pt idx="47">
                  <c:v>-9.7784772157397128</c:v>
                </c:pt>
                <c:pt idx="48">
                  <c:v>5.3377819812334906</c:v>
                </c:pt>
                <c:pt idx="49">
                  <c:v>-5.1214482796034417</c:v>
                </c:pt>
                <c:pt idx="50">
                  <c:v>-12.349157184547835</c:v>
                </c:pt>
                <c:pt idx="51">
                  <c:v>17.111535956970897</c:v>
                </c:pt>
                <c:pt idx="52">
                  <c:v>10.573060910018768</c:v>
                </c:pt>
                <c:pt idx="53">
                  <c:v>-9.9772871837839148</c:v>
                </c:pt>
                <c:pt idx="54">
                  <c:v>0.5602636858507708</c:v>
                </c:pt>
                <c:pt idx="55">
                  <c:v>11.147947046872787</c:v>
                </c:pt>
                <c:pt idx="56">
                  <c:v>17.550091749791193</c:v>
                </c:pt>
                <c:pt idx="57">
                  <c:v>-9.8174098491855375</c:v>
                </c:pt>
                <c:pt idx="58">
                  <c:v>-15.510018063694588</c:v>
                </c:pt>
                <c:pt idx="59">
                  <c:v>4.3064313687422668</c:v>
                </c:pt>
                <c:pt idx="60">
                  <c:v>20.659096528923953</c:v>
                </c:pt>
                <c:pt idx="61">
                  <c:v>-13.718101423948156</c:v>
                </c:pt>
                <c:pt idx="62">
                  <c:v>-4.9330777223163409</c:v>
                </c:pt>
                <c:pt idx="63">
                  <c:v>-1.8656398690680192</c:v>
                </c:pt>
                <c:pt idx="64">
                  <c:v>-7.7207372127785732</c:v>
                </c:pt>
                <c:pt idx="65">
                  <c:v>-1.6438727379099021</c:v>
                </c:pt>
                <c:pt idx="66">
                  <c:v>12.360079448943964</c:v>
                </c:pt>
                <c:pt idx="67">
                  <c:v>-2.1917759028742125</c:v>
                </c:pt>
                <c:pt idx="68">
                  <c:v>-18.346903115701423</c:v>
                </c:pt>
                <c:pt idx="69">
                  <c:v>13.824061327943866</c:v>
                </c:pt>
                <c:pt idx="70">
                  <c:v>10.424216567597341</c:v>
                </c:pt>
                <c:pt idx="71">
                  <c:v>12.104213167569412</c:v>
                </c:pt>
                <c:pt idx="72">
                  <c:v>-8.4252169777464019</c:v>
                </c:pt>
                <c:pt idx="73">
                  <c:v>18.449155074499117</c:v>
                </c:pt>
                <c:pt idx="74">
                  <c:v>19.67270218873125</c:v>
                </c:pt>
                <c:pt idx="75">
                  <c:v>4.8828517506227058</c:v>
                </c:pt>
                <c:pt idx="76">
                  <c:v>-7.3086985492201393</c:v>
                </c:pt>
                <c:pt idx="77">
                  <c:v>5.7164495615401165</c:v>
                </c:pt>
                <c:pt idx="78">
                  <c:v>-7.9366376884642591</c:v>
                </c:pt>
                <c:pt idx="79">
                  <c:v>2.3148195677586614</c:v>
                </c:pt>
                <c:pt idx="80">
                  <c:v>12.042781705699241</c:v>
                </c:pt>
                <c:pt idx="81">
                  <c:v>7.7375501268745097</c:v>
                </c:pt>
                <c:pt idx="82">
                  <c:v>2.6245352900488115</c:v>
                </c:pt>
                <c:pt idx="83">
                  <c:v>4.9419472785799599</c:v>
                </c:pt>
                <c:pt idx="84">
                  <c:v>3.1190616034781726</c:v>
                </c:pt>
                <c:pt idx="85">
                  <c:v>2.5153907750104167</c:v>
                </c:pt>
                <c:pt idx="86">
                  <c:v>-1.631893688917387</c:v>
                </c:pt>
                <c:pt idx="87">
                  <c:v>8.5483868850309932</c:v>
                </c:pt>
                <c:pt idx="88">
                  <c:v>21.150993800275614</c:v>
                </c:pt>
                <c:pt idx="89">
                  <c:v>-18.930823653469929</c:v>
                </c:pt>
                <c:pt idx="90">
                  <c:v>-9.5462961644436177</c:v>
                </c:pt>
                <c:pt idx="91">
                  <c:v>14.45733892001806</c:v>
                </c:pt>
                <c:pt idx="92">
                  <c:v>3.3218748824626232</c:v>
                </c:pt>
                <c:pt idx="93">
                  <c:v>-21.061397833348508</c:v>
                </c:pt>
                <c:pt idx="94">
                  <c:v>-18.623217013759586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129-CD4A-8CF7-9AA042AFA8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626543"/>
        <c:axId val="55182287"/>
      </c:scatterChart>
      <c:valAx>
        <c:axId val="546265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Undergrad Grade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5182287"/>
        <c:crosses val="autoZero"/>
        <c:crossBetween val="midCat"/>
      </c:valAx>
      <c:valAx>
        <c:axId val="5518228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4626543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Employability (Before)  Residual Plot</a:t>
            </a:r>
          </a:p>
        </c:rich>
      </c:tx>
      <c:layout>
        <c:manualLayout>
          <c:xMode val="edge"/>
          <c:yMode val="edge"/>
          <c:x val="0.11658000297132672"/>
          <c:y val="5.921052631578947E-2"/>
        </c:manualLayout>
      </c:layout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'Multiple Linear Regression'!$C$6:$C$100</c:f>
              <c:numCache>
                <c:formatCode>General</c:formatCode>
                <c:ptCount val="95"/>
                <c:pt idx="0">
                  <c:v>252</c:v>
                </c:pt>
                <c:pt idx="1">
                  <c:v>423</c:v>
                </c:pt>
                <c:pt idx="2">
                  <c:v>101</c:v>
                </c:pt>
                <c:pt idx="3">
                  <c:v>288</c:v>
                </c:pt>
                <c:pt idx="4">
                  <c:v>248</c:v>
                </c:pt>
                <c:pt idx="5">
                  <c:v>145</c:v>
                </c:pt>
                <c:pt idx="6">
                  <c:v>401</c:v>
                </c:pt>
                <c:pt idx="7">
                  <c:v>287</c:v>
                </c:pt>
                <c:pt idx="8">
                  <c:v>275</c:v>
                </c:pt>
                <c:pt idx="9">
                  <c:v>254</c:v>
                </c:pt>
                <c:pt idx="10">
                  <c:v>182</c:v>
                </c:pt>
                <c:pt idx="11">
                  <c:v>117</c:v>
                </c:pt>
                <c:pt idx="12">
                  <c:v>130</c:v>
                </c:pt>
                <c:pt idx="13">
                  <c:v>219</c:v>
                </c:pt>
                <c:pt idx="14">
                  <c:v>152</c:v>
                </c:pt>
                <c:pt idx="15">
                  <c:v>228</c:v>
                </c:pt>
                <c:pt idx="16">
                  <c:v>62</c:v>
                </c:pt>
                <c:pt idx="17">
                  <c:v>393</c:v>
                </c:pt>
                <c:pt idx="18">
                  <c:v>277</c:v>
                </c:pt>
                <c:pt idx="19">
                  <c:v>206</c:v>
                </c:pt>
                <c:pt idx="20">
                  <c:v>229</c:v>
                </c:pt>
                <c:pt idx="21">
                  <c:v>182</c:v>
                </c:pt>
                <c:pt idx="22">
                  <c:v>98</c:v>
                </c:pt>
                <c:pt idx="23">
                  <c:v>125</c:v>
                </c:pt>
                <c:pt idx="24">
                  <c:v>164</c:v>
                </c:pt>
                <c:pt idx="25">
                  <c:v>186</c:v>
                </c:pt>
                <c:pt idx="26">
                  <c:v>235</c:v>
                </c:pt>
                <c:pt idx="27">
                  <c:v>184</c:v>
                </c:pt>
                <c:pt idx="28">
                  <c:v>76</c:v>
                </c:pt>
                <c:pt idx="29">
                  <c:v>126</c:v>
                </c:pt>
                <c:pt idx="30">
                  <c:v>183</c:v>
                </c:pt>
                <c:pt idx="31">
                  <c:v>242</c:v>
                </c:pt>
                <c:pt idx="32">
                  <c:v>207</c:v>
                </c:pt>
                <c:pt idx="33">
                  <c:v>181</c:v>
                </c:pt>
                <c:pt idx="34">
                  <c:v>239</c:v>
                </c:pt>
                <c:pt idx="35">
                  <c:v>216</c:v>
                </c:pt>
                <c:pt idx="36">
                  <c:v>289</c:v>
                </c:pt>
                <c:pt idx="37">
                  <c:v>213</c:v>
                </c:pt>
                <c:pt idx="38">
                  <c:v>209</c:v>
                </c:pt>
                <c:pt idx="39">
                  <c:v>376</c:v>
                </c:pt>
                <c:pt idx="40">
                  <c:v>332</c:v>
                </c:pt>
                <c:pt idx="41">
                  <c:v>249</c:v>
                </c:pt>
                <c:pt idx="42">
                  <c:v>228</c:v>
                </c:pt>
                <c:pt idx="43">
                  <c:v>124</c:v>
                </c:pt>
                <c:pt idx="44">
                  <c:v>194</c:v>
                </c:pt>
                <c:pt idx="45">
                  <c:v>157</c:v>
                </c:pt>
                <c:pt idx="46">
                  <c:v>402</c:v>
                </c:pt>
                <c:pt idx="47">
                  <c:v>323</c:v>
                </c:pt>
                <c:pt idx="48">
                  <c:v>181</c:v>
                </c:pt>
                <c:pt idx="49">
                  <c:v>157</c:v>
                </c:pt>
                <c:pt idx="50">
                  <c:v>266</c:v>
                </c:pt>
                <c:pt idx="51">
                  <c:v>268</c:v>
                </c:pt>
                <c:pt idx="52">
                  <c:v>167</c:v>
                </c:pt>
                <c:pt idx="53">
                  <c:v>342</c:v>
                </c:pt>
                <c:pt idx="54">
                  <c:v>349</c:v>
                </c:pt>
                <c:pt idx="55">
                  <c:v>340</c:v>
                </c:pt>
                <c:pt idx="56">
                  <c:v>227</c:v>
                </c:pt>
                <c:pt idx="57">
                  <c:v>409</c:v>
                </c:pt>
                <c:pt idx="58">
                  <c:v>400</c:v>
                </c:pt>
                <c:pt idx="59">
                  <c:v>374</c:v>
                </c:pt>
                <c:pt idx="60">
                  <c:v>255</c:v>
                </c:pt>
                <c:pt idx="61">
                  <c:v>146</c:v>
                </c:pt>
                <c:pt idx="62">
                  <c:v>248</c:v>
                </c:pt>
                <c:pt idx="63">
                  <c:v>198</c:v>
                </c:pt>
                <c:pt idx="64">
                  <c:v>210</c:v>
                </c:pt>
                <c:pt idx="65">
                  <c:v>107</c:v>
                </c:pt>
                <c:pt idx="66">
                  <c:v>239</c:v>
                </c:pt>
                <c:pt idx="67">
                  <c:v>287</c:v>
                </c:pt>
                <c:pt idx="68">
                  <c:v>340</c:v>
                </c:pt>
                <c:pt idx="69">
                  <c:v>155</c:v>
                </c:pt>
                <c:pt idx="70">
                  <c:v>263</c:v>
                </c:pt>
                <c:pt idx="71">
                  <c:v>265</c:v>
                </c:pt>
                <c:pt idx="72">
                  <c:v>249</c:v>
                </c:pt>
                <c:pt idx="73">
                  <c:v>377</c:v>
                </c:pt>
                <c:pt idx="74">
                  <c:v>301</c:v>
                </c:pt>
                <c:pt idx="75">
                  <c:v>242</c:v>
                </c:pt>
                <c:pt idx="76">
                  <c:v>211</c:v>
                </c:pt>
                <c:pt idx="77">
                  <c:v>160</c:v>
                </c:pt>
                <c:pt idx="78">
                  <c:v>218</c:v>
                </c:pt>
                <c:pt idx="79">
                  <c:v>133</c:v>
                </c:pt>
                <c:pt idx="80">
                  <c:v>122</c:v>
                </c:pt>
                <c:pt idx="81">
                  <c:v>236</c:v>
                </c:pt>
                <c:pt idx="82">
                  <c:v>143</c:v>
                </c:pt>
                <c:pt idx="83">
                  <c:v>354</c:v>
                </c:pt>
                <c:pt idx="84">
                  <c:v>214</c:v>
                </c:pt>
                <c:pt idx="85">
                  <c:v>225</c:v>
                </c:pt>
                <c:pt idx="86">
                  <c:v>261</c:v>
                </c:pt>
                <c:pt idx="87">
                  <c:v>277</c:v>
                </c:pt>
                <c:pt idx="88">
                  <c:v>282</c:v>
                </c:pt>
                <c:pt idx="89">
                  <c:v>322</c:v>
                </c:pt>
                <c:pt idx="90">
                  <c:v>326</c:v>
                </c:pt>
                <c:pt idx="91">
                  <c:v>421</c:v>
                </c:pt>
                <c:pt idx="92">
                  <c:v>368</c:v>
                </c:pt>
                <c:pt idx="93">
                  <c:v>279</c:v>
                </c:pt>
                <c:pt idx="94">
                  <c:v>268</c:v>
                </c:pt>
              </c:numCache>
            </c:numRef>
          </c:xVal>
          <c:yVal>
            <c:numRef>
              <c:f>'Multiple Linear Regression'!$H$30:$H$124</c:f>
              <c:numCache>
                <c:formatCode>General</c:formatCode>
                <c:ptCount val="95"/>
                <c:pt idx="0">
                  <c:v>-1.3577160032980373</c:v>
                </c:pt>
                <c:pt idx="1">
                  <c:v>-14.087522741904422</c:v>
                </c:pt>
                <c:pt idx="2">
                  <c:v>-15.05361145889654</c:v>
                </c:pt>
                <c:pt idx="3">
                  <c:v>-3.5445793025697299</c:v>
                </c:pt>
                <c:pt idx="4">
                  <c:v>5.9877646069959667</c:v>
                </c:pt>
                <c:pt idx="5">
                  <c:v>15.579268662110792</c:v>
                </c:pt>
                <c:pt idx="6">
                  <c:v>7.5528710284963836</c:v>
                </c:pt>
                <c:pt idx="7">
                  <c:v>-21.92733880563577</c:v>
                </c:pt>
                <c:pt idx="8">
                  <c:v>15.788422682340126</c:v>
                </c:pt>
                <c:pt idx="9">
                  <c:v>-20.72840784555234</c:v>
                </c:pt>
                <c:pt idx="10">
                  <c:v>-2.8899201769580998</c:v>
                </c:pt>
                <c:pt idx="11">
                  <c:v>-8.1045538823149741</c:v>
                </c:pt>
                <c:pt idx="12">
                  <c:v>-16.827094205967171</c:v>
                </c:pt>
                <c:pt idx="13">
                  <c:v>6.8356601533441221</c:v>
                </c:pt>
                <c:pt idx="14">
                  <c:v>5.1563983670893094</c:v>
                </c:pt>
                <c:pt idx="15">
                  <c:v>1.4380010902829099</c:v>
                </c:pt>
                <c:pt idx="16">
                  <c:v>6.2153863965128693</c:v>
                </c:pt>
                <c:pt idx="17">
                  <c:v>-9.3468399945013516</c:v>
                </c:pt>
                <c:pt idx="18">
                  <c:v>12.728111508140444</c:v>
                </c:pt>
                <c:pt idx="19">
                  <c:v>-16.17099769029295</c:v>
                </c:pt>
                <c:pt idx="20">
                  <c:v>8.0060400198997286</c:v>
                </c:pt>
                <c:pt idx="21">
                  <c:v>-5.9200092694815396</c:v>
                </c:pt>
                <c:pt idx="22">
                  <c:v>4.4291710428660025</c:v>
                </c:pt>
                <c:pt idx="23">
                  <c:v>-4.4194014463603253</c:v>
                </c:pt>
                <c:pt idx="24">
                  <c:v>-5.8443995678280203</c:v>
                </c:pt>
                <c:pt idx="25">
                  <c:v>-0.27023475118576812</c:v>
                </c:pt>
                <c:pt idx="26">
                  <c:v>-1.5747315162932409</c:v>
                </c:pt>
                <c:pt idx="27">
                  <c:v>-6.7649519246071463</c:v>
                </c:pt>
                <c:pt idx="28">
                  <c:v>1.155087219426818</c:v>
                </c:pt>
                <c:pt idx="29">
                  <c:v>-2.9574842726065356</c:v>
                </c:pt>
                <c:pt idx="30">
                  <c:v>-15.162755973934907</c:v>
                </c:pt>
                <c:pt idx="31">
                  <c:v>0.74189603082601252</c:v>
                </c:pt>
                <c:pt idx="32">
                  <c:v>20.741445939280993</c:v>
                </c:pt>
                <c:pt idx="33">
                  <c:v>4.1374580084210777</c:v>
                </c:pt>
                <c:pt idx="34">
                  <c:v>-8.754722117708468</c:v>
                </c:pt>
                <c:pt idx="35">
                  <c:v>-5.376731480280057</c:v>
                </c:pt>
                <c:pt idx="36">
                  <c:v>14.497710439918308</c:v>
                </c:pt>
                <c:pt idx="37">
                  <c:v>-6.368199791388804</c:v>
                </c:pt>
                <c:pt idx="38">
                  <c:v>12.381863703909232</c:v>
                </c:pt>
                <c:pt idx="39">
                  <c:v>-9.9731832639107552</c:v>
                </c:pt>
                <c:pt idx="40">
                  <c:v>2.3733372653789502</c:v>
                </c:pt>
                <c:pt idx="41">
                  <c:v>11.329325410656054</c:v>
                </c:pt>
                <c:pt idx="42">
                  <c:v>7.6430699345056041</c:v>
                </c:pt>
                <c:pt idx="43">
                  <c:v>-3.2170435092818366</c:v>
                </c:pt>
                <c:pt idx="44">
                  <c:v>3.2288283261871698</c:v>
                </c:pt>
                <c:pt idx="45">
                  <c:v>-26.346306541497995</c:v>
                </c:pt>
                <c:pt idx="46">
                  <c:v>4.0250878771016687</c:v>
                </c:pt>
                <c:pt idx="47">
                  <c:v>-9.7784772157397128</c:v>
                </c:pt>
                <c:pt idx="48">
                  <c:v>5.3377819812334906</c:v>
                </c:pt>
                <c:pt idx="49">
                  <c:v>-5.1214482796034417</c:v>
                </c:pt>
                <c:pt idx="50">
                  <c:v>-12.349157184547835</c:v>
                </c:pt>
                <c:pt idx="51">
                  <c:v>17.111535956970897</c:v>
                </c:pt>
                <c:pt idx="52">
                  <c:v>10.573060910018768</c:v>
                </c:pt>
                <c:pt idx="53">
                  <c:v>-9.9772871837839148</c:v>
                </c:pt>
                <c:pt idx="54">
                  <c:v>0.5602636858507708</c:v>
                </c:pt>
                <c:pt idx="55">
                  <c:v>11.147947046872787</c:v>
                </c:pt>
                <c:pt idx="56">
                  <c:v>17.550091749791193</c:v>
                </c:pt>
                <c:pt idx="57">
                  <c:v>-9.8174098491855375</c:v>
                </c:pt>
                <c:pt idx="58">
                  <c:v>-15.510018063694588</c:v>
                </c:pt>
                <c:pt idx="59">
                  <c:v>4.3064313687422668</c:v>
                </c:pt>
                <c:pt idx="60">
                  <c:v>20.659096528923953</c:v>
                </c:pt>
                <c:pt idx="61">
                  <c:v>-13.718101423948156</c:v>
                </c:pt>
                <c:pt idx="62">
                  <c:v>-4.9330777223163409</c:v>
                </c:pt>
                <c:pt idx="63">
                  <c:v>-1.8656398690680192</c:v>
                </c:pt>
                <c:pt idx="64">
                  <c:v>-7.7207372127785732</c:v>
                </c:pt>
                <c:pt idx="65">
                  <c:v>-1.6438727379099021</c:v>
                </c:pt>
                <c:pt idx="66">
                  <c:v>12.360079448943964</c:v>
                </c:pt>
                <c:pt idx="67">
                  <c:v>-2.1917759028742125</c:v>
                </c:pt>
                <c:pt idx="68">
                  <c:v>-18.346903115701423</c:v>
                </c:pt>
                <c:pt idx="69">
                  <c:v>13.824061327943866</c:v>
                </c:pt>
                <c:pt idx="70">
                  <c:v>10.424216567597341</c:v>
                </c:pt>
                <c:pt idx="71">
                  <c:v>12.104213167569412</c:v>
                </c:pt>
                <c:pt idx="72">
                  <c:v>-8.4252169777464019</c:v>
                </c:pt>
                <c:pt idx="73">
                  <c:v>18.449155074499117</c:v>
                </c:pt>
                <c:pt idx="74">
                  <c:v>19.67270218873125</c:v>
                </c:pt>
                <c:pt idx="75">
                  <c:v>4.8828517506227058</c:v>
                </c:pt>
                <c:pt idx="76">
                  <c:v>-7.3086985492201393</c:v>
                </c:pt>
                <c:pt idx="77">
                  <c:v>5.7164495615401165</c:v>
                </c:pt>
                <c:pt idx="78">
                  <c:v>-7.9366376884642591</c:v>
                </c:pt>
                <c:pt idx="79">
                  <c:v>2.3148195677586614</c:v>
                </c:pt>
                <c:pt idx="80">
                  <c:v>12.042781705699241</c:v>
                </c:pt>
                <c:pt idx="81">
                  <c:v>7.7375501268745097</c:v>
                </c:pt>
                <c:pt idx="82">
                  <c:v>2.6245352900488115</c:v>
                </c:pt>
                <c:pt idx="83">
                  <c:v>4.9419472785799599</c:v>
                </c:pt>
                <c:pt idx="84">
                  <c:v>3.1190616034781726</c:v>
                </c:pt>
                <c:pt idx="85">
                  <c:v>2.5153907750104167</c:v>
                </c:pt>
                <c:pt idx="86">
                  <c:v>-1.631893688917387</c:v>
                </c:pt>
                <c:pt idx="87">
                  <c:v>8.5483868850309932</c:v>
                </c:pt>
                <c:pt idx="88">
                  <c:v>21.150993800275614</c:v>
                </c:pt>
                <c:pt idx="89">
                  <c:v>-18.930823653469929</c:v>
                </c:pt>
                <c:pt idx="90">
                  <c:v>-9.5462961644436177</c:v>
                </c:pt>
                <c:pt idx="91">
                  <c:v>14.45733892001806</c:v>
                </c:pt>
                <c:pt idx="92">
                  <c:v>3.3218748824626232</c:v>
                </c:pt>
                <c:pt idx="93">
                  <c:v>-21.061397833348508</c:v>
                </c:pt>
                <c:pt idx="94">
                  <c:v>-18.623217013759586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A27-3B4B-AAD1-9B1B1843D6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364303"/>
        <c:axId val="131023551"/>
      </c:scatterChart>
      <c:valAx>
        <c:axId val="1303643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Employability (Before)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1023551"/>
        <c:crosses val="autoZero"/>
        <c:crossBetween val="midCat"/>
      </c:valAx>
      <c:valAx>
        <c:axId val="13102355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0364303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txData>
          <cx:v>Salary Distribution for MBA Graduates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Salary Distribution for MBA Graduates</a:t>
          </a:r>
        </a:p>
      </cx:txPr>
    </cx:title>
    <cx:plotArea>
      <cx:plotAreaRegion>
        <cx:series layoutId="clusteredColumn" uniqueId="{B96F5D65-EEF2-1240-A394-E661CF3C5743}">
          <cx:dataId val="0"/>
          <cx:layoutPr>
            <cx:binning intervalClosed="r">
              <cx:binSize val="15"/>
            </cx:binning>
          </cx:layoutPr>
        </cx:series>
      </cx:plotAreaRegion>
      <cx:axis id="0">
        <cx:catScaling gapWidth="0"/>
        <cx:title>
          <cx:tx>
            <cx:txData>
              <cx:v>Annual Salary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Annual Salary</a:t>
              </a:r>
            </a:p>
          </cx:txPr>
        </cx:title>
        <cx:tickLabels/>
      </cx:axis>
      <cx:axis id="1">
        <cx:valScaling/>
        <cx:title>
          <cx:tx>
            <cx:txData>
              <cx:v>Frequency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Frequency</a:t>
              </a:r>
            </a:p>
          </cx:txPr>
        </cx:title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</cx:f>
      </cx:numDim>
    </cx:data>
    <cx:data id="1">
      <cx:numDim type="val">
        <cx:f>_xlchart.v1.4</cx:f>
      </cx:numDim>
    </cx:data>
  </cx:chartData>
  <cx:chart>
    <cx:plotArea>
      <cx:plotAreaRegion>
        <cx:plotSurface>
          <cx:spPr>
            <a:noFill/>
            <a:ln>
              <a:noFill/>
            </a:ln>
          </cx:spPr>
        </cx:plotSurface>
        <cx:series layoutId="boxWhisker" uniqueId="{C28600CC-0D55-F344-A3FE-85609829E627}">
          <cx:tx>
            <cx:txData>
              <cx:f>_xlchart.v1.1</cx:f>
              <cx:v>Employability (Before)</cx:v>
            </cx:txData>
          </cx:tx>
          <cx:spPr>
            <a:solidFill>
              <a:schemeClr val="accent1">
                <a:alpha val="30000"/>
              </a:schemeClr>
            </a:solidFill>
          </cx:spPr>
          <cx:dataId val="0"/>
          <cx:layoutPr>
            <cx:visibility meanLine="0" meanMarker="1" nonoutliers="0" outliers="1"/>
            <cx:statistics quartileMethod="inclusive"/>
          </cx:layoutPr>
        </cx:series>
        <cx:series layoutId="boxWhisker" uniqueId="{40C8FFB7-FCD5-9E40-AC5F-CD296A94DFB7}">
          <cx:tx>
            <cx:txData>
              <cx:f>_xlchart.v1.3</cx:f>
              <cx:v>Employability (After)</cx:v>
            </cx:txData>
          </cx:tx>
          <cx:spPr>
            <a:solidFill>
              <a:schemeClr val="accent2">
                <a:alpha val="30000"/>
              </a:schemeClr>
            </a:solidFill>
          </cx:spPr>
          <cx:dataId val="1"/>
          <cx:layoutPr>
            <cx:visibility meanLine="0" meanMarker="1" nonoutliers="0" outliers="1"/>
            <cx:statistics quartileMethod="inclusive"/>
          </cx:layoutPr>
        </cx:series>
      </cx:plotAreaRegion>
      <cx:axis id="0" hidden="1">
        <cx:catScaling gapWidth="1"/>
        <cx:tickLabels/>
      </cx:axis>
      <cx:axis id="1">
        <cx:valScaling max="500"/>
        <cx:title>
          <cx:tx>
            <cx:txData>
              <cx:v>Employability Scores</cx:v>
            </cx:txData>
          </cx:tx>
          <cx:spPr>
            <a:ln>
              <a:noFill/>
            </a:ln>
          </cx:spPr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Employability Scores</a:t>
              </a:r>
            </a:p>
          </cx:txPr>
        </cx:title>
        <cx:majorTickMarks type="out"/>
        <cx:tickLabels/>
      </cx:axis>
    </cx:plotArea>
    <cx:legend pos="t" align="ctr" overlay="0"/>
  </cx:chart>
  <cx:spPr>
    <a:ln>
      <a:noFill/>
    </a:ln>
  </cx:spPr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_xlchart.v1.5</cx:f>
      </cx:strDim>
      <cx:numDim type="val">
        <cx:f>_xlchart.v1.6</cx:f>
      </cx:numDim>
    </cx:data>
  </cx:chartData>
  <cx:chart>
    <cx:plotArea>
      <cx:plotAreaRegion>
        <cx:series layoutId="boxWhisker" uniqueId="{42DF3AE9-8A19-7548-884B-581F97778786}">
          <cx:spPr>
            <a:solidFill>
              <a:schemeClr val="accent1">
                <a:alpha val="20000"/>
              </a:schemeClr>
            </a:solidFill>
            <a:ln>
              <a:solidFill>
                <a:schemeClr val="accent1"/>
              </a:solidFill>
            </a:ln>
          </cx:spPr>
          <cx:dataId val="0"/>
          <cx:layoutPr>
            <cx:visibility meanLine="0" meanMarker="1" nonoutliers="0" outliers="1"/>
            <cx:statistics quartileMethod="inclusive"/>
          </cx:layoutPr>
        </cx:series>
      </cx:plotAreaRegion>
      <cx:axis id="0">
        <cx:catScaling gapWidth="1"/>
        <cx:title>
          <cx:tx>
            <cx:txData>
              <cx:v>Undergrad Degree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Undergrad Degree</a:t>
              </a:r>
            </a:p>
          </cx:txPr>
        </cx:title>
        <cx:tickLabels/>
      </cx:axis>
      <cx:axis id="1">
        <cx:valScaling min="60"/>
        <cx:title>
          <cx:tx>
            <cx:txData>
              <cx:v>Final Grade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Final Grade</a:t>
              </a:r>
            </a:p>
          </cx:txPr>
        </cx:title>
        <cx:majorTickMarks type="out"/>
        <cx:tickLabels/>
      </cx:axis>
    </cx:plotArea>
  </cx:chart>
  <cx:spPr>
    <a:ln>
      <a:noFill/>
    </a:ln>
  </cx:spPr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_xlchart.v1.7</cx:f>
      </cx:numDim>
    </cx:data>
  </cx:chartData>
  <cx:chart>
    <cx:plotArea>
      <cx:plotAreaRegion>
        <cx:series layoutId="clusteredColumn" uniqueId="{277EC6EF-8B59-E549-B54B-C09BACC9F54F}">
          <cx:dataId val="0"/>
          <cx:layoutPr>
            <cx:binning intervalClosed="r">
              <cx:binSize val="15000"/>
            </cx:binning>
          </cx:layoutPr>
        </cx:series>
      </cx:plotAreaRegion>
      <cx:axis id="0">
        <cx:catScaling gapWidth="0"/>
        <cx:title>
          <cx:tx>
            <cx:txData>
              <cx:v>Salary Amount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Salary Amount</a:t>
              </a:r>
            </a:p>
          </cx:txPr>
        </cx:title>
        <cx:tickLabels/>
      </cx:axis>
      <cx:axis id="1">
        <cx:valScaling/>
        <cx:title>
          <cx:tx>
            <cx:txData>
              <cx:v>Graduates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Graduates</a:t>
              </a:r>
            </a:p>
          </cx:txPr>
        </cx:title>
        <cx:tickLabels/>
      </cx:axis>
    </cx:plotArea>
  </cx:chart>
  <cx:spPr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_rels/drawing5.xml.rels><?xml version="1.0" encoding="UTF-8" standalone="yes"?>
<Relationships xmlns="http://schemas.openxmlformats.org/package/2006/relationships"><Relationship Id="rId1" Type="http://schemas.microsoft.com/office/2014/relationships/chartEx" Target="../charts/chartEx3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microsoft.com/office/2014/relationships/chartEx" Target="../charts/chartEx4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4.png"/><Relationship Id="rId1" Type="http://schemas.openxmlformats.org/officeDocument/2006/relationships/image" Target="../media/image7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5.png"/><Relationship Id="rId1" Type="http://schemas.openxmlformats.org/officeDocument/2006/relationships/chart" Target="../charts/chart13.xml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3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16.png"/><Relationship Id="rId1" Type="http://schemas.openxmlformats.org/officeDocument/2006/relationships/chart" Target="../charts/chart15.xml"/><Relationship Id="rId4" Type="http://schemas.openxmlformats.org/officeDocument/2006/relationships/image" Target="../media/image18.pn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3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9.xml"/><Relationship Id="rId1" Type="http://schemas.openxmlformats.org/officeDocument/2006/relationships/chart" Target="../charts/chart1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57150</xdr:colOff>
      <xdr:row>4</xdr:row>
      <xdr:rowOff>381000</xdr:rowOff>
    </xdr:from>
    <xdr:to>
      <xdr:col>8</xdr:col>
      <xdr:colOff>590550</xdr:colOff>
      <xdr:row>19</xdr:row>
      <xdr:rowOff>50800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4370F845-84E2-B132-F5E0-6D26E586EE8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58950" y="13081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13</xdr:col>
      <xdr:colOff>171450</xdr:colOff>
      <xdr:row>4</xdr:row>
      <xdr:rowOff>203200</xdr:rowOff>
    </xdr:from>
    <xdr:to>
      <xdr:col>20</xdr:col>
      <xdr:colOff>31750</xdr:colOff>
      <xdr:row>18</xdr:row>
      <xdr:rowOff>63500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F18EE8A-1819-0B84-E6C0-14E8E33DDB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25400</xdr:colOff>
      <xdr:row>16</xdr:row>
      <xdr:rowOff>12700</xdr:rowOff>
    </xdr:from>
    <xdr:to>
      <xdr:col>7</xdr:col>
      <xdr:colOff>558800</xdr:colOff>
      <xdr:row>30</xdr:row>
      <xdr:rowOff>88900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C3E256B-B243-6DDB-D0D7-615ED50BDF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406400</xdr:colOff>
      <xdr:row>28</xdr:row>
      <xdr:rowOff>177800</xdr:rowOff>
    </xdr:from>
    <xdr:to>
      <xdr:col>10</xdr:col>
      <xdr:colOff>177800</xdr:colOff>
      <xdr:row>43</xdr:row>
      <xdr:rowOff>63500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F71A760-7D2A-DA38-97F9-19DF2EB0A6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215900</xdr:colOff>
      <xdr:row>29</xdr:row>
      <xdr:rowOff>0</xdr:rowOff>
    </xdr:from>
    <xdr:to>
      <xdr:col>15</xdr:col>
      <xdr:colOff>381000</xdr:colOff>
      <xdr:row>43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A8E2C46-7FFB-8CA9-DF34-CB43C9FD5E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603250</xdr:colOff>
      <xdr:row>3</xdr:row>
      <xdr:rowOff>146050</xdr:rowOff>
    </xdr:from>
    <xdr:to>
      <xdr:col>10</xdr:col>
      <xdr:colOff>463550</xdr:colOff>
      <xdr:row>41</xdr:row>
      <xdr:rowOff>88900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AE609093-5860-023C-CFC5-948C72ED42E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968750" y="882650"/>
              <a:ext cx="4572000" cy="71818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393700</xdr:colOff>
      <xdr:row>16</xdr:row>
      <xdr:rowOff>12700</xdr:rowOff>
    </xdr:from>
    <xdr:to>
      <xdr:col>7</xdr:col>
      <xdr:colOff>12700</xdr:colOff>
      <xdr:row>37</xdr:row>
      <xdr:rowOff>76200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96921537-37F5-56FB-3D82-4AD1B02E8BC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755900" y="3225800"/>
              <a:ext cx="3340100" cy="4064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15</xdr:row>
      <xdr:rowOff>0</xdr:rowOff>
    </xdr:from>
    <xdr:to>
      <xdr:col>8</xdr:col>
      <xdr:colOff>0</xdr:colOff>
      <xdr:row>29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83447F1-1932-6E4D-A93F-6F8DD3BFB2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85725</xdr:colOff>
      <xdr:row>10</xdr:row>
      <xdr:rowOff>47625</xdr:rowOff>
    </xdr:from>
    <xdr:to>
      <xdr:col>9</xdr:col>
      <xdr:colOff>30988</xdr:colOff>
      <xdr:row>13</xdr:row>
      <xdr:rowOff>104067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D8B93A2-610F-9CDE-DC8C-93C17A53DA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57700" y="2124075"/>
          <a:ext cx="1469263" cy="627942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609600</xdr:colOff>
      <xdr:row>17</xdr:row>
      <xdr:rowOff>19050</xdr:rowOff>
    </xdr:from>
    <xdr:to>
      <xdr:col>8</xdr:col>
      <xdr:colOff>330200</xdr:colOff>
      <xdr:row>31</xdr:row>
      <xdr:rowOff>95250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2A066652-FD30-84A3-3618-CC51B5C53E8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28800" y="34607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381000</xdr:colOff>
      <xdr:row>3</xdr:row>
      <xdr:rowOff>158750</xdr:rowOff>
    </xdr:from>
    <xdr:to>
      <xdr:col>16</xdr:col>
      <xdr:colOff>241300</xdr:colOff>
      <xdr:row>18</xdr:row>
      <xdr:rowOff>44450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BE618D9-9582-27A5-5E4C-2F23CBBF48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447675</xdr:colOff>
      <xdr:row>13</xdr:row>
      <xdr:rowOff>19050</xdr:rowOff>
    </xdr:from>
    <xdr:to>
      <xdr:col>8</xdr:col>
      <xdr:colOff>420845</xdr:colOff>
      <xdr:row>15</xdr:row>
      <xdr:rowOff>168448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9DF7C06-4698-6CED-3A50-E886C2EA7E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05275" y="2667000"/>
          <a:ext cx="2554445" cy="530398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495300</xdr:colOff>
      <xdr:row>13</xdr:row>
      <xdr:rowOff>19050</xdr:rowOff>
    </xdr:from>
    <xdr:to>
      <xdr:col>8</xdr:col>
      <xdr:colOff>468470</xdr:colOff>
      <xdr:row>15</xdr:row>
      <xdr:rowOff>168448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C5F122B-38D6-2BA1-FF74-DEAE6CDB9A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52900" y="2667000"/>
          <a:ext cx="2554445" cy="530398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219075</xdr:colOff>
      <xdr:row>14</xdr:row>
      <xdr:rowOff>76200</xdr:rowOff>
    </xdr:from>
    <xdr:to>
      <xdr:col>4</xdr:col>
      <xdr:colOff>465297</xdr:colOff>
      <xdr:row>18</xdr:row>
      <xdr:rowOff>161617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EEC8354-FF3F-0A76-A713-C72293ED32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52650" y="2914650"/>
          <a:ext cx="1103472" cy="847417"/>
        </a:xfrm>
        <a:prstGeom prst="rect">
          <a:avLst/>
        </a:prstGeom>
      </xdr:spPr>
    </xdr:pic>
    <xdr:clientData/>
  </xdr:twoCellAnchor>
  <xdr:twoCellAnchor editAs="oneCell">
    <xdr:from>
      <xdr:col>6</xdr:col>
      <xdr:colOff>295275</xdr:colOff>
      <xdr:row>12</xdr:row>
      <xdr:rowOff>57150</xdr:rowOff>
    </xdr:from>
    <xdr:to>
      <xdr:col>12</xdr:col>
      <xdr:colOff>529273</xdr:colOff>
      <xdr:row>19</xdr:row>
      <xdr:rowOff>180720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325E621A-C0FA-359A-2F66-E38F2E376A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457700" y="2514600"/>
          <a:ext cx="5139373" cy="145707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16</xdr:row>
      <xdr:rowOff>85127</xdr:rowOff>
    </xdr:from>
    <xdr:to>
      <xdr:col>12</xdr:col>
      <xdr:colOff>803710</xdr:colOff>
      <xdr:row>29</xdr:row>
      <xdr:rowOff>114300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A2D826D-9024-2930-3592-B159CF144F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38525" y="3399827"/>
          <a:ext cx="6480610" cy="2505673"/>
        </a:xfrm>
        <a:prstGeom prst="rect">
          <a:avLst/>
        </a:prstGeom>
      </xdr:spPr>
    </xdr:pic>
    <xdr:clientData/>
  </xdr:twoCellAnchor>
  <xdr:twoCellAnchor editAs="oneCell">
    <xdr:from>
      <xdr:col>13</xdr:col>
      <xdr:colOff>152400</xdr:colOff>
      <xdr:row>17</xdr:row>
      <xdr:rowOff>186500</xdr:rowOff>
    </xdr:from>
    <xdr:to>
      <xdr:col>16</xdr:col>
      <xdr:colOff>686051</xdr:colOff>
      <xdr:row>29</xdr:row>
      <xdr:rowOff>95250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39243F5-4422-427D-69C3-759D6EBF73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591800" y="3691700"/>
          <a:ext cx="2895851" cy="219475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13</xdr:row>
      <xdr:rowOff>94652</xdr:rowOff>
    </xdr:from>
    <xdr:to>
      <xdr:col>11</xdr:col>
      <xdr:colOff>803710</xdr:colOff>
      <xdr:row>26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0D13C3D-2A82-492D-B90E-69078D9F5F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95600" y="2837852"/>
          <a:ext cx="6480610" cy="2505673"/>
        </a:xfrm>
        <a:prstGeom prst="rect">
          <a:avLst/>
        </a:prstGeom>
      </xdr:spPr>
    </xdr:pic>
    <xdr:clientData/>
  </xdr:twoCellAnchor>
  <xdr:twoCellAnchor editAs="oneCell">
    <xdr:from>
      <xdr:col>12</xdr:col>
      <xdr:colOff>152400</xdr:colOff>
      <xdr:row>15</xdr:row>
      <xdr:rowOff>5525</xdr:rowOff>
    </xdr:from>
    <xdr:to>
      <xdr:col>15</xdr:col>
      <xdr:colOff>686051</xdr:colOff>
      <xdr:row>26</xdr:row>
      <xdr:rowOff>104775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24C3B57-A39A-4826-95BE-B9CA2E65D6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048875" y="3129725"/>
          <a:ext cx="2895851" cy="219475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88900</xdr:colOff>
      <xdr:row>14</xdr:row>
      <xdr:rowOff>63500</xdr:rowOff>
    </xdr:from>
    <xdr:to>
      <xdr:col>16</xdr:col>
      <xdr:colOff>317500</xdr:colOff>
      <xdr:row>28</xdr:row>
      <xdr:rowOff>170348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DB578F1-127F-A95C-59D7-207004E23F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62300" y="2921000"/>
          <a:ext cx="10972800" cy="2773848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342900</xdr:colOff>
      <xdr:row>10</xdr:row>
      <xdr:rowOff>133350</xdr:rowOff>
    </xdr:from>
    <xdr:to>
      <xdr:col>15</xdr:col>
      <xdr:colOff>263892</xdr:colOff>
      <xdr:row>19</xdr:row>
      <xdr:rowOff>150264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9669E262-396B-246B-594E-8E990226D8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28875" y="2209800"/>
          <a:ext cx="7169517" cy="1731414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295275</xdr:colOff>
      <xdr:row>10</xdr:row>
      <xdr:rowOff>152400</xdr:rowOff>
    </xdr:from>
    <xdr:to>
      <xdr:col>14</xdr:col>
      <xdr:colOff>985792</xdr:colOff>
      <xdr:row>26</xdr:row>
      <xdr:rowOff>134375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6E61507E-71EA-304F-A39D-7FE4414F98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00400" y="2228850"/>
          <a:ext cx="6072142" cy="3029975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19050</xdr:colOff>
      <xdr:row>10</xdr:row>
      <xdr:rowOff>104775</xdr:rowOff>
    </xdr:from>
    <xdr:to>
      <xdr:col>17</xdr:col>
      <xdr:colOff>1103785</xdr:colOff>
      <xdr:row>16</xdr:row>
      <xdr:rowOff>156695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2727FD1-DFDC-8C27-78BA-F9951416F3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43175" y="2181225"/>
          <a:ext cx="9114310" cy="119492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600075</xdr:colOff>
      <xdr:row>10</xdr:row>
      <xdr:rowOff>47626</xdr:rowOff>
    </xdr:from>
    <xdr:to>
      <xdr:col>17</xdr:col>
      <xdr:colOff>0</xdr:colOff>
      <xdr:row>29</xdr:row>
      <xdr:rowOff>187888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F33F6A67-EB81-7C15-A3E5-AFD3729742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62250" y="2124076"/>
          <a:ext cx="7867650" cy="3759762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171450</xdr:colOff>
      <xdr:row>13</xdr:row>
      <xdr:rowOff>57150</xdr:rowOff>
    </xdr:from>
    <xdr:to>
      <xdr:col>17</xdr:col>
      <xdr:colOff>1944561</xdr:colOff>
      <xdr:row>23</xdr:row>
      <xdr:rowOff>90846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67C79A2C-071B-F736-73DC-BC8357304C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24325" y="2705100"/>
          <a:ext cx="8059611" cy="1938696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619125</xdr:colOff>
      <xdr:row>13</xdr:row>
      <xdr:rowOff>129349</xdr:rowOff>
    </xdr:from>
    <xdr:to>
      <xdr:col>21</xdr:col>
      <xdr:colOff>12700</xdr:colOff>
      <xdr:row>28</xdr:row>
      <xdr:rowOff>7830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3596140-2740-4967-88AB-78E8F498F8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01400" y="2910649"/>
          <a:ext cx="3609975" cy="2735981"/>
        </a:xfrm>
        <a:prstGeom prst="rect">
          <a:avLst/>
        </a:prstGeom>
      </xdr:spPr>
    </xdr:pic>
    <xdr:clientData/>
  </xdr:twoCellAnchor>
  <xdr:twoCellAnchor editAs="oneCell">
    <xdr:from>
      <xdr:col>4</xdr:col>
      <xdr:colOff>47625</xdr:colOff>
      <xdr:row>13</xdr:row>
      <xdr:rowOff>57150</xdr:rowOff>
    </xdr:from>
    <xdr:to>
      <xdr:col>15</xdr:col>
      <xdr:colOff>598467</xdr:colOff>
      <xdr:row>28</xdr:row>
      <xdr:rowOff>107694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75C99635-5A35-8D4A-3E45-EABF73809F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743200" y="2838450"/>
          <a:ext cx="7827942" cy="2908044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584200</xdr:colOff>
      <xdr:row>3</xdr:row>
      <xdr:rowOff>171450</xdr:rowOff>
    </xdr:from>
    <xdr:to>
      <xdr:col>10</xdr:col>
      <xdr:colOff>444500</xdr:colOff>
      <xdr:row>18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2D91901-A68B-8745-0718-98A696B4A8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450850</xdr:colOff>
      <xdr:row>10</xdr:row>
      <xdr:rowOff>95250</xdr:rowOff>
    </xdr:from>
    <xdr:to>
      <xdr:col>10</xdr:col>
      <xdr:colOff>1085850</xdr:colOff>
      <xdr:row>24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0E5BE21-3459-DED0-4F99-230C969E1B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4</xdr:row>
      <xdr:rowOff>0</xdr:rowOff>
    </xdr:from>
    <xdr:to>
      <xdr:col>13</xdr:col>
      <xdr:colOff>523875</xdr:colOff>
      <xdr:row>18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B824E3-3116-9D16-5F04-BDBBDA497D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571500</xdr:colOff>
      <xdr:row>9</xdr:row>
      <xdr:rowOff>76200</xdr:rowOff>
    </xdr:from>
    <xdr:to>
      <xdr:col>9</xdr:col>
      <xdr:colOff>600075</xdr:colOff>
      <xdr:row>23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EF40BEE-46E0-4E41-8077-DF1640ED92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355600</xdr:colOff>
      <xdr:row>10</xdr:row>
      <xdr:rowOff>95250</xdr:rowOff>
    </xdr:from>
    <xdr:to>
      <xdr:col>11</xdr:col>
      <xdr:colOff>254000</xdr:colOff>
      <xdr:row>24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FCEB7BF-980D-F297-E9B6-69D852BA14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571500</xdr:colOff>
      <xdr:row>9</xdr:row>
      <xdr:rowOff>76200</xdr:rowOff>
    </xdr:from>
    <xdr:to>
      <xdr:col>9</xdr:col>
      <xdr:colOff>600075</xdr:colOff>
      <xdr:row>23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7F74FDC-A1A1-454F-8713-737C70429F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571500</xdr:colOff>
      <xdr:row>9</xdr:row>
      <xdr:rowOff>76200</xdr:rowOff>
    </xdr:from>
    <xdr:to>
      <xdr:col>9</xdr:col>
      <xdr:colOff>600075</xdr:colOff>
      <xdr:row>23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30D9384-5289-4B07-BAAB-41902CE1DE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266700</xdr:colOff>
      <xdr:row>12</xdr:row>
      <xdr:rowOff>161925</xdr:rowOff>
    </xdr:from>
    <xdr:to>
      <xdr:col>20</xdr:col>
      <xdr:colOff>171965</xdr:colOff>
      <xdr:row>22</xdr:row>
      <xdr:rowOff>12725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4B775F16-61A0-E520-96A3-C1780A920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496300" y="2619375"/>
          <a:ext cx="5944115" cy="1755800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571500</xdr:colOff>
      <xdr:row>9</xdr:row>
      <xdr:rowOff>76200</xdr:rowOff>
    </xdr:from>
    <xdr:to>
      <xdr:col>9</xdr:col>
      <xdr:colOff>600075</xdr:colOff>
      <xdr:row>23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A635101-0B44-4A70-940B-05BD96B160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571500</xdr:colOff>
      <xdr:row>9</xdr:row>
      <xdr:rowOff>76200</xdr:rowOff>
    </xdr:from>
    <xdr:to>
      <xdr:col>9</xdr:col>
      <xdr:colOff>600075</xdr:colOff>
      <xdr:row>23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5417ABF-2C81-446C-88C1-15BED143FA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247650</xdr:colOff>
      <xdr:row>16</xdr:row>
      <xdr:rowOff>114300</xdr:rowOff>
    </xdr:from>
    <xdr:to>
      <xdr:col>14</xdr:col>
      <xdr:colOff>113725</xdr:colOff>
      <xdr:row>22</xdr:row>
      <xdr:rowOff>7710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61E447A2-C57E-FA46-3A96-7B53F5F237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477250" y="3333750"/>
          <a:ext cx="2152075" cy="1036410"/>
        </a:xfrm>
        <a:prstGeom prst="rect">
          <a:avLst/>
        </a:prstGeom>
      </xdr:spPr>
    </xdr:pic>
    <xdr:clientData/>
  </xdr:twoCellAnchor>
  <xdr:twoCellAnchor editAs="oneCell">
    <xdr:from>
      <xdr:col>14</xdr:col>
      <xdr:colOff>600075</xdr:colOff>
      <xdr:row>16</xdr:row>
      <xdr:rowOff>85725</xdr:rowOff>
    </xdr:from>
    <xdr:to>
      <xdr:col>24</xdr:col>
      <xdr:colOff>76315</xdr:colOff>
      <xdr:row>22</xdr:row>
      <xdr:rowOff>149838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43A4086-7DB6-3698-5028-D1066DB861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115675" y="3305175"/>
          <a:ext cx="5724640" cy="1207113"/>
        </a:xfrm>
        <a:prstGeom prst="rect">
          <a:avLst/>
        </a:prstGeom>
      </xdr:spPr>
    </xdr:pic>
    <xdr:clientData/>
  </xdr:twoCellAnchor>
  <xdr:twoCellAnchor editAs="oneCell">
    <xdr:from>
      <xdr:col>11</xdr:col>
      <xdr:colOff>152400</xdr:colOff>
      <xdr:row>25</xdr:row>
      <xdr:rowOff>0</xdr:rowOff>
    </xdr:from>
    <xdr:to>
      <xdr:col>19</xdr:col>
      <xdr:colOff>463798</xdr:colOff>
      <xdr:row>32</xdr:row>
      <xdr:rowOff>93088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91F3A69A-7C2C-DEA1-B404-847B36C03C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382000" y="4933950"/>
          <a:ext cx="5797798" cy="1426588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514350</xdr:colOff>
      <xdr:row>8</xdr:row>
      <xdr:rowOff>180975</xdr:rowOff>
    </xdr:from>
    <xdr:to>
      <xdr:col>9</xdr:col>
      <xdr:colOff>304800</xdr:colOff>
      <xdr:row>23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433921B-B5FE-4252-A1AC-C4C8E47865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63500</xdr:colOff>
      <xdr:row>0</xdr:row>
      <xdr:rowOff>266700</xdr:rowOff>
    </xdr:from>
    <xdr:to>
      <xdr:col>28</xdr:col>
      <xdr:colOff>63500</xdr:colOff>
      <xdr:row>40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A493019-F01A-E099-E68D-BC6B7DAD3A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190500</xdr:colOff>
      <xdr:row>4</xdr:row>
      <xdr:rowOff>165100</xdr:rowOff>
    </xdr:from>
    <xdr:to>
      <xdr:col>29</xdr:col>
      <xdr:colOff>190500</xdr:colOff>
      <xdr:row>14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23B5B1F-6C0E-3265-23AC-8CA8AD46D2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660400</xdr:colOff>
      <xdr:row>13</xdr:row>
      <xdr:rowOff>88900</xdr:rowOff>
    </xdr:from>
    <xdr:to>
      <xdr:col>28</xdr:col>
      <xdr:colOff>660400</xdr:colOff>
      <xdr:row>23</xdr:row>
      <xdr:rowOff>63500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F06DEAF-69E2-448F-C82D-454EB4CA28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nrique Ruiz" refreshedDate="44847.391748263886" createdVersion="8" refreshedVersion="8" minRefreshableVersion="3" recordCount="95" xr:uid="{0A2407D4-C344-42C2-8D5D-C4C49F99B15D}">
  <cacheSource type="worksheet">
    <worksheetSource ref="B5:B100" sheet="Normal Distribution"/>
  </cacheSource>
  <cacheFields count="1">
    <cacheField name="MBA Grade" numFmtId="0">
      <sharedItems containsSemiMixedTypes="0" containsString="0" containsNumber="1" minValue="62.6" maxValue="96.1" count="81">
        <n v="90.2"/>
        <n v="92.8"/>
        <n v="68.7"/>
        <n v="80.7"/>
        <n v="74.900000000000006"/>
        <n v="83.3"/>
        <n v="88.7"/>
        <n v="75.400000000000006"/>
        <n v="82.1"/>
        <n v="87.5"/>
        <n v="66.900000000000006"/>
        <n v="71.3"/>
        <n v="76.8"/>
        <n v="72.3"/>
        <n v="72.400000000000006"/>
        <n v="72"/>
        <n v="81"/>
        <n v="96.1"/>
        <n v="76.7"/>
        <n v="80.3"/>
        <n v="77.8"/>
        <n v="62.6"/>
        <n v="80.2"/>
        <n v="79.099999999999994"/>
        <n v="75.099999999999994"/>
        <n v="82.2"/>
        <n v="70.5"/>
        <n v="70.8"/>
        <n v="79.5"/>
        <n v="80.8"/>
        <n v="79.599999999999994"/>
        <n v="88.9"/>
        <n v="85.9"/>
        <n v="82.3"/>
        <n v="79.900000000000006"/>
        <n v="86.2"/>
        <n v="79.2"/>
        <n v="83.4"/>
        <n v="85.2"/>
        <n v="71"/>
        <n v="87.2"/>
        <n v="82.9"/>
        <n v="73.5"/>
        <n v="74.599999999999994"/>
        <n v="85.1"/>
        <n v="84.6"/>
        <n v="81.7"/>
        <n v="81.400000000000006"/>
        <n v="83.8"/>
        <n v="88.5"/>
        <n v="84.9"/>
        <n v="84.3"/>
        <n v="78.2"/>
        <n v="80"/>
        <n v="74.8"/>
        <n v="78.5"/>
        <n v="71.8"/>
        <n v="69.900000000000006"/>
        <n v="82.7"/>
        <n v="74"/>
        <n v="84"/>
        <n v="84.7"/>
        <n v="85"/>
        <n v="80.099999999999994"/>
        <n v="85.3"/>
        <n v="79.7"/>
        <n v="78.900000000000006"/>
        <n v="74.2"/>
        <n v="71.7"/>
        <n v="84.1"/>
        <n v="87.4"/>
        <n v="77.400000000000006"/>
        <n v="78.8"/>
        <n v="92.7"/>
        <n v="88.8"/>
        <n v="86.6"/>
        <n v="77.900000000000006"/>
        <n v="86.1"/>
        <n v="89.9"/>
        <n v="83.1"/>
        <n v="82.6"/>
      </sharedItems>
      <fieldGroup base="0">
        <rangePr autoStart="0" autoEnd="0" startNum="60" endNum="100" groupInterval="5"/>
        <groupItems count="10">
          <s v="&lt;60"/>
          <s v="60-65"/>
          <s v="65-70"/>
          <s v="70-75"/>
          <s v="75-80"/>
          <s v="80-85"/>
          <s v="85-90"/>
          <s v="90-95"/>
          <s v="95-100"/>
          <s v="&gt;10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idan Dean-Jones" refreshedDate="45800.478887384263" createdVersion="8" refreshedVersion="8" minRefreshableVersion="3" recordCount="95" xr:uid="{54E9B48A-D94F-5D42-BB9F-E895BE4C818C}">
  <cacheSource type="worksheet">
    <worksheetSource ref="B5:B100" sheet="Categorical Distributions"/>
  </cacheSource>
  <cacheFields count="1">
    <cacheField name="Status" numFmtId="0">
      <sharedItems count="2">
        <s v="Placed"/>
        <s v="Not Place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idan Dean-Jones" refreshedDate="45800.488984374999" createdVersion="8" refreshedVersion="8" minRefreshableVersion="3" recordCount="53" xr:uid="{905E4610-0573-B74E-9C18-502101D1C159}">
  <cacheSource type="worksheet">
    <worksheetSource ref="B5:B58" sheet="Numerical Distributions"/>
  </cacheSource>
  <cacheFields count="1">
    <cacheField name="Annual Salary (Thousands of USD)" numFmtId="0">
      <sharedItems containsSemiMixedTypes="0" containsString="0" containsNumber="1" minValue="75.5" maxValue="340" count="34">
        <n v="111"/>
        <n v="107"/>
        <n v="109"/>
        <n v="148"/>
        <n v="255.5"/>
        <n v="103.5"/>
        <n v="114.5"/>
        <n v="124"/>
        <n v="132.5"/>
        <n v="99"/>
        <n v="82"/>
        <n v="185"/>
        <n v="89.5"/>
        <n v="91.5"/>
        <n v="113.5"/>
        <n v="75.5"/>
        <n v="86"/>
        <n v="156.5"/>
        <n v="99.5"/>
        <n v="205.5"/>
        <n v="340"/>
        <n v="103"/>
        <n v="165"/>
        <n v="124.5"/>
        <n v="82.5"/>
        <n v="93"/>
        <n v="168"/>
        <n v="96"/>
        <n v="80"/>
        <n v="144.5"/>
        <n v="104.5"/>
        <n v="113"/>
        <n v="78"/>
        <n v="84"/>
      </sharedItems>
      <fieldGroup base="0">
        <rangePr autoStart="0" startNum="70" endNum="340" groupInterval="20"/>
        <groupItems count="16">
          <s v="&lt;70"/>
          <s v="70-90"/>
          <s v="90-110"/>
          <s v="110-130"/>
          <s v="130-150"/>
          <s v="150-170"/>
          <s v="170-190"/>
          <s v="190-210"/>
          <s v="210-230"/>
          <s v="230-250"/>
          <s v="250-270"/>
          <s v="270-290"/>
          <s v="290-310"/>
          <s v="310-330"/>
          <s v="330-350"/>
          <s v="&gt;35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idan Dean-Jones" refreshedDate="45800.553286574075" createdVersion="8" refreshedVersion="8" minRefreshableVersion="3" recordCount="95" xr:uid="{A9016529-128D-9045-AE12-662BB4D571E7}">
  <cacheSource type="worksheet">
    <worksheetSource ref="B5:B100" sheet="Frequency Distributions"/>
  </cacheSource>
  <cacheFields count="1">
    <cacheField name="MBA Grade" numFmtId="0">
      <sharedItems containsSemiMixedTypes="0" containsString="0" containsNumber="1" minValue="62.6" maxValue="96.1" count="81">
        <n v="90.2"/>
        <n v="92.8"/>
        <n v="68.7"/>
        <n v="80.7"/>
        <n v="74.900000000000006"/>
        <n v="83.3"/>
        <n v="88.7"/>
        <n v="75.400000000000006"/>
        <n v="82.1"/>
        <n v="87.5"/>
        <n v="66.900000000000006"/>
        <n v="71.3"/>
        <n v="76.8"/>
        <n v="72.3"/>
        <n v="72.400000000000006"/>
        <n v="72"/>
        <n v="81"/>
        <n v="96.1"/>
        <n v="76.7"/>
        <n v="80.3"/>
        <n v="77.8"/>
        <n v="62.6"/>
        <n v="80.2"/>
        <n v="79.099999999999994"/>
        <n v="75.099999999999994"/>
        <n v="82.2"/>
        <n v="70.5"/>
        <n v="70.8"/>
        <n v="79.5"/>
        <n v="80.8"/>
        <n v="79.599999999999994"/>
        <n v="88.9"/>
        <n v="85.9"/>
        <n v="82.3"/>
        <n v="79.900000000000006"/>
        <n v="86.2"/>
        <n v="79.2"/>
        <n v="83.4"/>
        <n v="85.2"/>
        <n v="71"/>
        <n v="87.2"/>
        <n v="82.9"/>
        <n v="73.5"/>
        <n v="74.599999999999994"/>
        <n v="85.1"/>
        <n v="84.6"/>
        <n v="81.7"/>
        <n v="81.400000000000006"/>
        <n v="83.8"/>
        <n v="88.5"/>
        <n v="84.9"/>
        <n v="84.3"/>
        <n v="78.2"/>
        <n v="80"/>
        <n v="74.8"/>
        <n v="78.5"/>
        <n v="71.8"/>
        <n v="69.900000000000006"/>
        <n v="82.7"/>
        <n v="74"/>
        <n v="84"/>
        <n v="84.7"/>
        <n v="85"/>
        <n v="80.099999999999994"/>
        <n v="85.3"/>
        <n v="79.7"/>
        <n v="78.900000000000006"/>
        <n v="74.2"/>
        <n v="71.7"/>
        <n v="84.1"/>
        <n v="87.4"/>
        <n v="77.400000000000006"/>
        <n v="78.8"/>
        <n v="92.7"/>
        <n v="88.8"/>
        <n v="86.6"/>
        <n v="77.900000000000006"/>
        <n v="86.1"/>
        <n v="89.9"/>
        <n v="83.1"/>
        <n v="82.6"/>
      </sharedItems>
      <fieldGroup base="0">
        <rangePr autoStart="0" autoEnd="0" startNum="60" endNum="100" groupInterval="5"/>
        <groupItems count="10">
          <s v="&lt;60"/>
          <s v="60-65"/>
          <s v="65-70"/>
          <s v="70-75"/>
          <s v="75-80"/>
          <s v="80-85"/>
          <s v="85-90"/>
          <s v="90-95"/>
          <s v="95-100"/>
          <s v="&gt;10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idan Dean-Jones" refreshedDate="45800.59624027778" createdVersion="8" refreshedVersion="8" minRefreshableVersion="3" recordCount="36" xr:uid="{342267FB-42D6-D14B-91D1-AEB793674DCC}">
  <cacheSource type="worksheet">
    <worksheetSource ref="B5:B41" sheet="Central Tendency"/>
  </cacheSource>
  <cacheFields count="1">
    <cacheField name="Business Undergrads" numFmtId="0">
      <sharedItems containsSemiMixedTypes="0" containsString="0" containsNumber="1" minValue="71" maxValue="96.1" count="35">
        <n v="90.2"/>
        <n v="92.8"/>
        <n v="88.7"/>
        <n v="87.5"/>
        <n v="71.3"/>
        <n v="72.3"/>
        <n v="96.1"/>
        <n v="80.3"/>
        <n v="79.099999999999994"/>
        <n v="80.8"/>
        <n v="88.9"/>
        <n v="82.3"/>
        <n v="83.4"/>
        <n v="77.8"/>
        <n v="71"/>
        <n v="87.2"/>
        <n v="82.9"/>
        <n v="75.099999999999994"/>
        <n v="74.900000000000006"/>
        <n v="81.7"/>
        <n v="83.8"/>
        <n v="74.8"/>
        <n v="82.7"/>
        <n v="84"/>
        <n v="80.099999999999994"/>
        <n v="79.599999999999994"/>
        <n v="78.900000000000006"/>
        <n v="72"/>
        <n v="74.2"/>
        <n v="71.7"/>
        <n v="87.4"/>
        <n v="77.400000000000006"/>
        <n v="78.8"/>
        <n v="92.7"/>
        <n v="77.900000000000006"/>
      </sharedItems>
      <fieldGroup base="0">
        <rangePr autoStart="0" autoEnd="0" startNum="60" endNum="100" groupInterval="5"/>
        <groupItems count="10">
          <s v="&lt;60"/>
          <s v="60-65"/>
          <s v="65-70"/>
          <s v="70-75"/>
          <s v="75-80"/>
          <s v="80-85"/>
          <s v="85-90"/>
          <s v="90-95"/>
          <s v="95-100"/>
          <s v="&gt;10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idan Dean-Jones" refreshedDate="45800.599008564815" createdVersion="8" refreshedVersion="8" minRefreshableVersion="3" recordCount="59" xr:uid="{8C2EEA18-6D59-B641-8F52-B81E387468DD}">
  <cacheSource type="worksheet">
    <worksheetSource ref="D5:D64" sheet="Central Tendency"/>
  </cacheSource>
  <cacheFields count="1">
    <cacheField name="Other Undergrads" numFmtId="0">
      <sharedItems containsSemiMixedTypes="0" containsString="0" containsNumber="1" minValue="62.6" maxValue="89.9" count="51">
        <n v="68.7"/>
        <n v="80.7"/>
        <n v="74.900000000000006"/>
        <n v="83.3"/>
        <n v="75.400000000000006"/>
        <n v="82.1"/>
        <n v="66.900000000000006"/>
        <n v="76.8"/>
        <n v="72.400000000000006"/>
        <n v="72"/>
        <n v="81"/>
        <n v="76.7"/>
        <n v="77.8"/>
        <n v="62.6"/>
        <n v="80.2"/>
        <n v="75.099999999999994"/>
        <n v="82.2"/>
        <n v="70.5"/>
        <n v="70.8"/>
        <n v="79.5"/>
        <n v="79.599999999999994"/>
        <n v="85.9"/>
        <n v="79.900000000000006"/>
        <n v="86.2"/>
        <n v="79.2"/>
        <n v="85.2"/>
        <n v="73.5"/>
        <n v="74.599999999999994"/>
        <n v="85.1"/>
        <n v="84.6"/>
        <n v="81.400000000000006"/>
        <n v="88.5"/>
        <n v="84.9"/>
        <n v="84.3"/>
        <n v="78.2"/>
        <n v="80"/>
        <n v="78.5"/>
        <n v="71.8"/>
        <n v="69.900000000000006"/>
        <n v="74"/>
        <n v="84.7"/>
        <n v="85"/>
        <n v="85.3"/>
        <n v="79.7"/>
        <n v="84.1"/>
        <n v="88.8"/>
        <n v="86.6"/>
        <n v="86.1"/>
        <n v="89.9"/>
        <n v="83.1"/>
        <n v="82.6"/>
      </sharedItems>
      <fieldGroup base="0">
        <rangePr autoStart="0" autoEnd="0" startNum="60" endNum="100" groupInterval="5"/>
        <groupItems count="10">
          <s v="&lt;60"/>
          <s v="60-65"/>
          <s v="65-70"/>
          <s v="70-75"/>
          <s v="75-80"/>
          <s v="80-85"/>
          <s v="85-90"/>
          <s v="90-95"/>
          <s v="95-100"/>
          <s v="&gt;10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5">
  <r>
    <x v="0"/>
  </r>
  <r>
    <x v="1"/>
  </r>
  <r>
    <x v="2"/>
  </r>
  <r>
    <x v="3"/>
  </r>
  <r>
    <x v="4"/>
  </r>
  <r>
    <x v="3"/>
  </r>
  <r>
    <x v="5"/>
  </r>
  <r>
    <x v="6"/>
  </r>
  <r>
    <x v="7"/>
  </r>
  <r>
    <x v="8"/>
  </r>
  <r>
    <x v="9"/>
  </r>
  <r>
    <x v="10"/>
  </r>
  <r>
    <x v="11"/>
  </r>
  <r>
    <x v="12"/>
  </r>
  <r>
    <x v="13"/>
  </r>
  <r>
    <x v="14"/>
  </r>
  <r>
    <x v="15"/>
  </r>
  <r>
    <x v="16"/>
  </r>
  <r>
    <x v="17"/>
  </r>
  <r>
    <x v="18"/>
  </r>
  <r>
    <x v="19"/>
  </r>
  <r>
    <x v="20"/>
  </r>
  <r>
    <x v="21"/>
  </r>
  <r>
    <x v="22"/>
  </r>
  <r>
    <x v="23"/>
  </r>
  <r>
    <x v="20"/>
  </r>
  <r>
    <x v="24"/>
  </r>
  <r>
    <x v="25"/>
  </r>
  <r>
    <x v="26"/>
  </r>
  <r>
    <x v="27"/>
  </r>
  <r>
    <x v="9"/>
  </r>
  <r>
    <x v="28"/>
  </r>
  <r>
    <x v="29"/>
  </r>
  <r>
    <x v="30"/>
  </r>
  <r>
    <x v="31"/>
  </r>
  <r>
    <x v="32"/>
  </r>
  <r>
    <x v="33"/>
  </r>
  <r>
    <x v="18"/>
  </r>
  <r>
    <x v="34"/>
  </r>
  <r>
    <x v="35"/>
  </r>
  <r>
    <x v="36"/>
  </r>
  <r>
    <x v="37"/>
  </r>
  <r>
    <x v="38"/>
  </r>
  <r>
    <x v="20"/>
  </r>
  <r>
    <x v="22"/>
  </r>
  <r>
    <x v="39"/>
  </r>
  <r>
    <x v="40"/>
  </r>
  <r>
    <x v="41"/>
  </r>
  <r>
    <x v="42"/>
  </r>
  <r>
    <x v="43"/>
  </r>
  <r>
    <x v="24"/>
  </r>
  <r>
    <x v="44"/>
  </r>
  <r>
    <x v="4"/>
  </r>
  <r>
    <x v="45"/>
  </r>
  <r>
    <x v="46"/>
  </r>
  <r>
    <x v="47"/>
  </r>
  <r>
    <x v="48"/>
  </r>
  <r>
    <x v="49"/>
  </r>
  <r>
    <x v="50"/>
  </r>
  <r>
    <x v="51"/>
  </r>
  <r>
    <x v="52"/>
  </r>
  <r>
    <x v="53"/>
  </r>
  <r>
    <x v="54"/>
  </r>
  <r>
    <x v="55"/>
  </r>
  <r>
    <x v="56"/>
  </r>
  <r>
    <x v="57"/>
  </r>
  <r>
    <x v="58"/>
  </r>
  <r>
    <x v="59"/>
  </r>
  <r>
    <x v="60"/>
  </r>
  <r>
    <x v="61"/>
  </r>
  <r>
    <x v="52"/>
  </r>
  <r>
    <x v="62"/>
  </r>
  <r>
    <x v="63"/>
  </r>
  <r>
    <x v="64"/>
  </r>
  <r>
    <x v="65"/>
  </r>
  <r>
    <x v="30"/>
  </r>
  <r>
    <x v="66"/>
  </r>
  <r>
    <x v="55"/>
  </r>
  <r>
    <x v="15"/>
  </r>
  <r>
    <x v="67"/>
  </r>
  <r>
    <x v="68"/>
  </r>
  <r>
    <x v="3"/>
  </r>
  <r>
    <x v="69"/>
  </r>
  <r>
    <x v="70"/>
  </r>
  <r>
    <x v="71"/>
  </r>
  <r>
    <x v="61"/>
  </r>
  <r>
    <x v="72"/>
  </r>
  <r>
    <x v="73"/>
  </r>
  <r>
    <x v="74"/>
  </r>
  <r>
    <x v="75"/>
  </r>
  <r>
    <x v="76"/>
  </r>
  <r>
    <x v="77"/>
  </r>
  <r>
    <x v="78"/>
  </r>
  <r>
    <x v="79"/>
  </r>
  <r>
    <x v="8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5">
  <r>
    <x v="0"/>
  </r>
  <r>
    <x v="1"/>
  </r>
  <r>
    <x v="0"/>
  </r>
  <r>
    <x v="1"/>
  </r>
  <r>
    <x v="1"/>
  </r>
  <r>
    <x v="1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1"/>
  </r>
  <r>
    <x v="0"/>
  </r>
  <r>
    <x v="1"/>
  </r>
  <r>
    <x v="1"/>
  </r>
  <r>
    <x v="1"/>
  </r>
  <r>
    <x v="0"/>
  </r>
  <r>
    <x v="1"/>
  </r>
  <r>
    <x v="1"/>
  </r>
  <r>
    <x v="0"/>
  </r>
  <r>
    <x v="0"/>
  </r>
  <r>
    <x v="0"/>
  </r>
  <r>
    <x v="1"/>
  </r>
  <r>
    <x v="1"/>
  </r>
  <r>
    <x v="0"/>
  </r>
  <r>
    <x v="1"/>
  </r>
  <r>
    <x v="1"/>
  </r>
  <r>
    <x v="1"/>
  </r>
  <r>
    <x v="0"/>
  </r>
  <r>
    <x v="1"/>
  </r>
  <r>
    <x v="0"/>
  </r>
  <r>
    <x v="0"/>
  </r>
  <r>
    <x v="1"/>
  </r>
  <r>
    <x v="1"/>
  </r>
  <r>
    <x v="1"/>
  </r>
  <r>
    <x v="0"/>
  </r>
  <r>
    <x v="0"/>
  </r>
  <r>
    <x v="0"/>
  </r>
  <r>
    <x v="1"/>
  </r>
  <r>
    <x v="0"/>
  </r>
  <r>
    <x v="1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1"/>
  </r>
  <r>
    <x v="0"/>
  </r>
  <r>
    <x v="1"/>
  </r>
  <r>
    <x v="0"/>
  </r>
  <r>
    <x v="1"/>
  </r>
  <r>
    <x v="0"/>
  </r>
  <r>
    <x v="1"/>
  </r>
  <r>
    <x v="1"/>
  </r>
  <r>
    <x v="1"/>
  </r>
  <r>
    <x v="0"/>
  </r>
  <r>
    <x v="1"/>
  </r>
  <r>
    <x v="1"/>
  </r>
  <r>
    <x v="0"/>
  </r>
  <r>
    <x v="0"/>
  </r>
  <r>
    <x v="1"/>
  </r>
  <r>
    <x v="1"/>
  </r>
  <r>
    <x v="0"/>
  </r>
  <r>
    <x v="1"/>
  </r>
  <r>
    <x v="0"/>
  </r>
  <r>
    <x v="0"/>
  </r>
  <r>
    <x v="0"/>
  </r>
  <r>
    <x v="0"/>
  </r>
  <r>
    <x v="1"/>
  </r>
  <r>
    <x v="0"/>
  </r>
  <r>
    <x v="1"/>
  </r>
  <r>
    <x v="0"/>
  </r>
  <r>
    <x v="0"/>
  </r>
  <r>
    <x v="1"/>
  </r>
  <r>
    <x v="0"/>
  </r>
  <r>
    <x v="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3">
  <r>
    <x v="0"/>
  </r>
  <r>
    <x v="1"/>
  </r>
  <r>
    <x v="2"/>
  </r>
  <r>
    <x v="3"/>
  </r>
  <r>
    <x v="4"/>
  </r>
  <r>
    <x v="5"/>
  </r>
  <r>
    <x v="6"/>
  </r>
  <r>
    <x v="7"/>
  </r>
  <r>
    <x v="8"/>
  </r>
  <r>
    <x v="9"/>
  </r>
  <r>
    <x v="7"/>
  </r>
  <r>
    <x v="10"/>
  </r>
  <r>
    <x v="11"/>
  </r>
  <r>
    <x v="12"/>
  </r>
  <r>
    <x v="13"/>
  </r>
  <r>
    <x v="14"/>
  </r>
  <r>
    <x v="9"/>
  </r>
  <r>
    <x v="15"/>
  </r>
  <r>
    <x v="16"/>
  </r>
  <r>
    <x v="17"/>
  </r>
  <r>
    <x v="18"/>
  </r>
  <r>
    <x v="3"/>
  </r>
  <r>
    <x v="10"/>
  </r>
  <r>
    <x v="5"/>
  </r>
  <r>
    <x v="19"/>
  </r>
  <r>
    <x v="5"/>
  </r>
  <r>
    <x v="20"/>
  </r>
  <r>
    <x v="5"/>
  </r>
  <r>
    <x v="18"/>
  </r>
  <r>
    <x v="21"/>
  </r>
  <r>
    <x v="5"/>
  </r>
  <r>
    <x v="22"/>
  </r>
  <r>
    <x v="23"/>
  </r>
  <r>
    <x v="5"/>
  </r>
  <r>
    <x v="24"/>
  </r>
  <r>
    <x v="25"/>
  </r>
  <r>
    <x v="26"/>
  </r>
  <r>
    <x v="27"/>
  </r>
  <r>
    <x v="28"/>
  </r>
  <r>
    <x v="23"/>
  </r>
  <r>
    <x v="9"/>
  </r>
  <r>
    <x v="7"/>
  </r>
  <r>
    <x v="13"/>
  </r>
  <r>
    <x v="29"/>
  </r>
  <r>
    <x v="6"/>
  </r>
  <r>
    <x v="30"/>
  </r>
  <r>
    <x v="7"/>
  </r>
  <r>
    <x v="31"/>
  </r>
  <r>
    <x v="32"/>
  </r>
  <r>
    <x v="2"/>
  </r>
  <r>
    <x v="18"/>
  </r>
  <r>
    <x v="1"/>
  </r>
  <r>
    <x v="33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5">
  <r>
    <x v="0"/>
  </r>
  <r>
    <x v="1"/>
  </r>
  <r>
    <x v="2"/>
  </r>
  <r>
    <x v="3"/>
  </r>
  <r>
    <x v="4"/>
  </r>
  <r>
    <x v="3"/>
  </r>
  <r>
    <x v="5"/>
  </r>
  <r>
    <x v="6"/>
  </r>
  <r>
    <x v="7"/>
  </r>
  <r>
    <x v="8"/>
  </r>
  <r>
    <x v="9"/>
  </r>
  <r>
    <x v="10"/>
  </r>
  <r>
    <x v="11"/>
  </r>
  <r>
    <x v="12"/>
  </r>
  <r>
    <x v="13"/>
  </r>
  <r>
    <x v="14"/>
  </r>
  <r>
    <x v="15"/>
  </r>
  <r>
    <x v="16"/>
  </r>
  <r>
    <x v="17"/>
  </r>
  <r>
    <x v="18"/>
  </r>
  <r>
    <x v="19"/>
  </r>
  <r>
    <x v="20"/>
  </r>
  <r>
    <x v="21"/>
  </r>
  <r>
    <x v="22"/>
  </r>
  <r>
    <x v="23"/>
  </r>
  <r>
    <x v="20"/>
  </r>
  <r>
    <x v="24"/>
  </r>
  <r>
    <x v="25"/>
  </r>
  <r>
    <x v="26"/>
  </r>
  <r>
    <x v="27"/>
  </r>
  <r>
    <x v="9"/>
  </r>
  <r>
    <x v="28"/>
  </r>
  <r>
    <x v="29"/>
  </r>
  <r>
    <x v="30"/>
  </r>
  <r>
    <x v="31"/>
  </r>
  <r>
    <x v="32"/>
  </r>
  <r>
    <x v="33"/>
  </r>
  <r>
    <x v="18"/>
  </r>
  <r>
    <x v="34"/>
  </r>
  <r>
    <x v="35"/>
  </r>
  <r>
    <x v="36"/>
  </r>
  <r>
    <x v="37"/>
  </r>
  <r>
    <x v="38"/>
  </r>
  <r>
    <x v="20"/>
  </r>
  <r>
    <x v="22"/>
  </r>
  <r>
    <x v="39"/>
  </r>
  <r>
    <x v="40"/>
  </r>
  <r>
    <x v="41"/>
  </r>
  <r>
    <x v="42"/>
  </r>
  <r>
    <x v="43"/>
  </r>
  <r>
    <x v="24"/>
  </r>
  <r>
    <x v="44"/>
  </r>
  <r>
    <x v="4"/>
  </r>
  <r>
    <x v="45"/>
  </r>
  <r>
    <x v="46"/>
  </r>
  <r>
    <x v="47"/>
  </r>
  <r>
    <x v="48"/>
  </r>
  <r>
    <x v="49"/>
  </r>
  <r>
    <x v="50"/>
  </r>
  <r>
    <x v="51"/>
  </r>
  <r>
    <x v="52"/>
  </r>
  <r>
    <x v="53"/>
  </r>
  <r>
    <x v="54"/>
  </r>
  <r>
    <x v="55"/>
  </r>
  <r>
    <x v="56"/>
  </r>
  <r>
    <x v="57"/>
  </r>
  <r>
    <x v="58"/>
  </r>
  <r>
    <x v="59"/>
  </r>
  <r>
    <x v="60"/>
  </r>
  <r>
    <x v="61"/>
  </r>
  <r>
    <x v="52"/>
  </r>
  <r>
    <x v="62"/>
  </r>
  <r>
    <x v="63"/>
  </r>
  <r>
    <x v="64"/>
  </r>
  <r>
    <x v="65"/>
  </r>
  <r>
    <x v="30"/>
  </r>
  <r>
    <x v="66"/>
  </r>
  <r>
    <x v="55"/>
  </r>
  <r>
    <x v="15"/>
  </r>
  <r>
    <x v="67"/>
  </r>
  <r>
    <x v="68"/>
  </r>
  <r>
    <x v="3"/>
  </r>
  <r>
    <x v="69"/>
  </r>
  <r>
    <x v="70"/>
  </r>
  <r>
    <x v="71"/>
  </r>
  <r>
    <x v="61"/>
  </r>
  <r>
    <x v="72"/>
  </r>
  <r>
    <x v="73"/>
  </r>
  <r>
    <x v="74"/>
  </r>
  <r>
    <x v="75"/>
  </r>
  <r>
    <x v="76"/>
  </r>
  <r>
    <x v="77"/>
  </r>
  <r>
    <x v="78"/>
  </r>
  <r>
    <x v="79"/>
  </r>
  <r>
    <x v="80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x v="0"/>
  </r>
  <r>
    <x v="1"/>
  </r>
  <r>
    <x v="2"/>
  </r>
  <r>
    <x v="3"/>
  </r>
  <r>
    <x v="4"/>
  </r>
  <r>
    <x v="5"/>
  </r>
  <r>
    <x v="6"/>
  </r>
  <r>
    <x v="7"/>
  </r>
  <r>
    <x v="8"/>
  </r>
  <r>
    <x v="3"/>
  </r>
  <r>
    <x v="9"/>
  </r>
  <r>
    <x v="10"/>
  </r>
  <r>
    <x v="11"/>
  </r>
  <r>
    <x v="12"/>
  </r>
  <r>
    <x v="13"/>
  </r>
  <r>
    <x v="14"/>
  </r>
  <r>
    <x v="15"/>
  </r>
  <r>
    <x v="16"/>
  </r>
  <r>
    <x v="17"/>
  </r>
  <r>
    <x v="18"/>
  </r>
  <r>
    <x v="19"/>
  </r>
  <r>
    <x v="20"/>
  </r>
  <r>
    <x v="21"/>
  </r>
  <r>
    <x v="22"/>
  </r>
  <r>
    <x v="23"/>
  </r>
  <r>
    <x v="24"/>
  </r>
  <r>
    <x v="25"/>
  </r>
  <r>
    <x v="26"/>
  </r>
  <r>
    <x v="27"/>
  </r>
  <r>
    <x v="28"/>
  </r>
  <r>
    <x v="29"/>
  </r>
  <r>
    <x v="30"/>
  </r>
  <r>
    <x v="31"/>
  </r>
  <r>
    <x v="32"/>
  </r>
  <r>
    <x v="33"/>
  </r>
  <r>
    <x v="34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9">
  <r>
    <x v="0"/>
  </r>
  <r>
    <x v="1"/>
  </r>
  <r>
    <x v="2"/>
  </r>
  <r>
    <x v="1"/>
  </r>
  <r>
    <x v="3"/>
  </r>
  <r>
    <x v="4"/>
  </r>
  <r>
    <x v="5"/>
  </r>
  <r>
    <x v="6"/>
  </r>
  <r>
    <x v="7"/>
  </r>
  <r>
    <x v="8"/>
  </r>
  <r>
    <x v="9"/>
  </r>
  <r>
    <x v="10"/>
  </r>
  <r>
    <x v="11"/>
  </r>
  <r>
    <x v="12"/>
  </r>
  <r>
    <x v="13"/>
  </r>
  <r>
    <x v="14"/>
  </r>
  <r>
    <x v="12"/>
  </r>
  <r>
    <x v="15"/>
  </r>
  <r>
    <x v="16"/>
  </r>
  <r>
    <x v="17"/>
  </r>
  <r>
    <x v="18"/>
  </r>
  <r>
    <x v="19"/>
  </r>
  <r>
    <x v="20"/>
  </r>
  <r>
    <x v="21"/>
  </r>
  <r>
    <x v="11"/>
  </r>
  <r>
    <x v="22"/>
  </r>
  <r>
    <x v="23"/>
  </r>
  <r>
    <x v="24"/>
  </r>
  <r>
    <x v="25"/>
  </r>
  <r>
    <x v="14"/>
  </r>
  <r>
    <x v="26"/>
  </r>
  <r>
    <x v="27"/>
  </r>
  <r>
    <x v="28"/>
  </r>
  <r>
    <x v="29"/>
  </r>
  <r>
    <x v="30"/>
  </r>
  <r>
    <x v="31"/>
  </r>
  <r>
    <x v="32"/>
  </r>
  <r>
    <x v="33"/>
  </r>
  <r>
    <x v="34"/>
  </r>
  <r>
    <x v="35"/>
  </r>
  <r>
    <x v="36"/>
  </r>
  <r>
    <x v="37"/>
  </r>
  <r>
    <x v="38"/>
  </r>
  <r>
    <x v="39"/>
  </r>
  <r>
    <x v="40"/>
  </r>
  <r>
    <x v="34"/>
  </r>
  <r>
    <x v="41"/>
  </r>
  <r>
    <x v="42"/>
  </r>
  <r>
    <x v="43"/>
  </r>
  <r>
    <x v="36"/>
  </r>
  <r>
    <x v="1"/>
  </r>
  <r>
    <x v="44"/>
  </r>
  <r>
    <x v="40"/>
  </r>
  <r>
    <x v="45"/>
  </r>
  <r>
    <x v="46"/>
  </r>
  <r>
    <x v="47"/>
  </r>
  <r>
    <x v="48"/>
  </r>
  <r>
    <x v="49"/>
  </r>
  <r>
    <x v="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4094C2-970D-684E-BEAB-C6F64192C1E1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tatus">
  <location ref="D5:F8" firstHeaderRow="0" firstDataRow="1" firstDataCol="1"/>
  <pivotFields count="1">
    <pivotField axis="axisRow" dataField="1" showAll="0">
      <items count="3">
        <item x="1"/>
        <item x="0"/>
        <item t="default"/>
      </items>
    </pivotField>
  </pivotFields>
  <rowFields count="1">
    <field x="0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Frequency" fld="0" subtotal="count" baseField="0" baseItem="0"/>
    <dataField name="Relative Frequency" fld="0" subtotal="count" showDataAs="percentOfCo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3E67C9-AE79-164A-B1E5-AFA59707C768}" name="PivotTable2" cacheId="2" applyNumberFormats="0" applyBorderFormats="0" applyFontFormats="0" applyPatternFormats="0" applyAlignmentFormats="0" applyWidthHeightFormats="1" dataCaption="Values" missingCaption="0" updatedVersion="8" minRefreshableVersion="3" useAutoFormatting="1" itemPrintTitles="1" createdVersion="8" indent="0" outline="1" outlineData="1" multipleFieldFilters="0" rowHeaderCaption="Annual Salary">
  <location ref="D5:F20" firstHeaderRow="0" firstDataRow="1" firstDataCol="1"/>
  <pivotFields count="1">
    <pivotField axis="axisRow" dataField="1">
      <items count="17">
        <item h="1"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h="1" x="15"/>
        <item t="default"/>
      </items>
    </pivotField>
  </pivotFields>
  <rowFields count="1">
    <field x="0"/>
  </rowFields>
  <rowItems count="15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-2"/>
  </colFields>
  <colItems count="2">
    <i>
      <x/>
    </i>
    <i i="1">
      <x v="1"/>
    </i>
  </colItems>
  <dataFields count="2">
    <dataField name="Frequency" fld="0" subtotal="count" baseField="0" baseItem="0"/>
    <dataField name="Cumulative Relative Frequency" fld="0" subtotal="count" baseField="0" baseItem="0" numFmtId="10">
      <extLst>
        <ext xmlns:x14="http://schemas.microsoft.com/office/spreadsheetml/2009/9/main" uri="{E15A36E0-9728-4e99-A89B-3F7291B0FE68}">
          <x14:dataField pivotShowAs="percentOfRunningTotal"/>
        </ext>
      </extLst>
    </dataField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0B38B2-4D37-0946-82DD-6231DCC3347C}" name="PivotTable4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Grade">
  <location ref="D5:E14" firstHeaderRow="1" firstDataRow="1" firstDataCol="1"/>
  <pivotFields count="1">
    <pivotField axis="axisRow" dataField="1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</pivotFields>
  <rowFields count="1">
    <field x="0"/>
  </rowFields>
  <rowItems count="9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Frequency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C590E4-FF94-3C4C-9783-F79E7FD9189F}" name="PivotTable6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Grade">
  <location ref="J15:K26" firstHeaderRow="1" firstDataRow="1" firstDataCol="1"/>
  <pivotFields count="1">
    <pivotField axis="axisRow" dataField="1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Frequency" fld="0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163216-3C8E-6141-93A6-6A92BF673745}" name="PivotTable5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rowHeaderCaption="Grade">
  <location ref="F15:G26" firstHeaderRow="1" firstDataRow="1" firstDataCol="1"/>
  <pivotFields count="1">
    <pivotField axis="axisRow" dataField="1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Frequency" fld="0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5F96FC-062E-444E-BB8F-5DC1DC439AE3}" name="PivotTable1" cacheId="0" applyNumberFormats="0" applyBorderFormats="0" applyFontFormats="0" applyPatternFormats="0" applyAlignmentFormats="0" applyWidthHeightFormats="1" dataCaption="Values" updatedVersion="8" minRefreshableVersion="3" showDrill="0" useAutoFormatting="1" itemPrintTitles="1" createdVersion="8" indent="0" compact="0" outline="1" outlineData="1" compactData="0" multipleFieldFilters="0" chartFormat="7">
  <location ref="D5:E14" firstHeaderRow="1" firstDataRow="1" firstDataCol="1"/>
  <pivotFields count="1">
    <pivotField axis="axisRow" dataField="1" compact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</pivotFields>
  <rowFields count="1">
    <field x="0"/>
  </rowFields>
  <rowItems count="9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Frequency" fld="0" subtotal="count" baseField="0" baseItem="0"/>
  </dataFields>
  <chartFormats count="1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4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6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8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24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25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26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8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9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31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33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34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35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36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37.bin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38.bin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39.bin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40.bin"/></Relationships>
</file>

<file path=xl/worksheets/_rels/sheet5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41.bin"/></Relationships>
</file>

<file path=xl/worksheets/_rels/sheet5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42.bin"/></Relationships>
</file>

<file path=xl/worksheets/_rels/sheet6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4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16368-A499-4EC1-A193-76839E6FAA6C}">
  <sheetPr codeName="Sheet1"/>
  <dimension ref="A1:K96"/>
  <sheetViews>
    <sheetView showGridLines="0" workbookViewId="0">
      <selection activeCell="D5" sqref="D5"/>
    </sheetView>
  </sheetViews>
  <sheetFormatPr baseColWidth="10" defaultColWidth="8.83203125" defaultRowHeight="15" x14ac:dyDescent="0.2"/>
  <cols>
    <col min="1" max="1" width="10" bestFit="1" customWidth="1"/>
    <col min="2" max="2" width="17.1640625" bestFit="1" customWidth="1"/>
    <col min="3" max="3" width="16" bestFit="1" customWidth="1"/>
    <col min="4" max="4" width="10.6640625" bestFit="1" customWidth="1"/>
    <col min="5" max="5" width="15.6640625" bestFit="1" customWidth="1"/>
    <col min="6" max="6" width="20.6640625" bestFit="1" customWidth="1"/>
    <col min="7" max="7" width="19.33203125" bestFit="1" customWidth="1"/>
    <col min="8" max="8" width="10.33203125" bestFit="1" customWidth="1"/>
    <col min="9" max="9" width="12.6640625" bestFit="1" customWidth="1"/>
    <col min="10" max="10" width="10.83203125" bestFit="1" customWidth="1"/>
  </cols>
  <sheetData>
    <row r="1" spans="1:11" x14ac:dyDescent="0.2">
      <c r="A1" s="40" t="s">
        <v>20</v>
      </c>
      <c r="B1" s="43" t="s">
        <v>36</v>
      </c>
      <c r="C1" s="43" t="s">
        <v>76</v>
      </c>
      <c r="D1" s="43" t="s">
        <v>77</v>
      </c>
      <c r="E1" s="43" t="s">
        <v>21</v>
      </c>
      <c r="F1" s="43" t="s">
        <v>22</v>
      </c>
      <c r="G1" s="43" t="s">
        <v>23</v>
      </c>
      <c r="H1" s="43" t="s">
        <v>12</v>
      </c>
      <c r="I1" s="41" t="s">
        <v>35</v>
      </c>
    </row>
    <row r="2" spans="1:11" x14ac:dyDescent="0.2">
      <c r="A2" s="51">
        <v>1</v>
      </c>
      <c r="B2" s="51" t="s">
        <v>24</v>
      </c>
      <c r="C2" s="51">
        <v>68.400000000000006</v>
      </c>
      <c r="D2" s="51">
        <v>90.2</v>
      </c>
      <c r="E2" s="51" t="s">
        <v>25</v>
      </c>
      <c r="F2" s="51">
        <v>252</v>
      </c>
      <c r="G2" s="51">
        <v>276</v>
      </c>
      <c r="H2" s="51" t="s">
        <v>13</v>
      </c>
      <c r="I2" s="52">
        <v>111000</v>
      </c>
      <c r="J2" s="6"/>
      <c r="K2" s="6"/>
    </row>
    <row r="3" spans="1:11" x14ac:dyDescent="0.2">
      <c r="A3" s="8">
        <v>2</v>
      </c>
      <c r="B3" s="8" t="s">
        <v>24</v>
      </c>
      <c r="C3" s="8">
        <v>62.1</v>
      </c>
      <c r="D3" s="8">
        <v>92.8</v>
      </c>
      <c r="E3" s="8" t="s">
        <v>25</v>
      </c>
      <c r="F3" s="8">
        <v>423</v>
      </c>
      <c r="G3" s="8">
        <v>410</v>
      </c>
      <c r="H3" s="8" t="s">
        <v>14</v>
      </c>
      <c r="I3" s="8"/>
      <c r="J3" s="6"/>
    </row>
    <row r="4" spans="1:11" x14ac:dyDescent="0.2">
      <c r="A4" s="8">
        <v>3</v>
      </c>
      <c r="B4" s="8" t="s">
        <v>73</v>
      </c>
      <c r="C4" s="8">
        <v>70.2</v>
      </c>
      <c r="D4" s="8">
        <v>68.7</v>
      </c>
      <c r="E4" s="8" t="s">
        <v>27</v>
      </c>
      <c r="F4" s="8">
        <v>101</v>
      </c>
      <c r="G4" s="8">
        <v>119</v>
      </c>
      <c r="H4" s="8" t="s">
        <v>13</v>
      </c>
      <c r="I4" s="12">
        <v>107000</v>
      </c>
      <c r="J4" s="6"/>
    </row>
    <row r="5" spans="1:11" x14ac:dyDescent="0.2">
      <c r="A5" s="8">
        <v>4</v>
      </c>
      <c r="B5" s="8" t="s">
        <v>72</v>
      </c>
      <c r="C5" s="8">
        <v>75.099999999999994</v>
      </c>
      <c r="D5" s="8">
        <v>80.7</v>
      </c>
      <c r="E5" s="8" t="s">
        <v>25</v>
      </c>
      <c r="F5" s="8">
        <v>288</v>
      </c>
      <c r="G5" s="8">
        <v>334</v>
      </c>
      <c r="H5" s="8" t="s">
        <v>14</v>
      </c>
      <c r="I5" s="8"/>
      <c r="J5" s="6"/>
    </row>
    <row r="6" spans="1:11" x14ac:dyDescent="0.2">
      <c r="A6" s="8">
        <v>5</v>
      </c>
      <c r="B6" s="8" t="s">
        <v>74</v>
      </c>
      <c r="C6" s="8">
        <v>60.9</v>
      </c>
      <c r="D6" s="8">
        <v>74.900000000000006</v>
      </c>
      <c r="E6" s="8" t="s">
        <v>25</v>
      </c>
      <c r="F6" s="8">
        <v>248</v>
      </c>
      <c r="G6" s="8">
        <v>252</v>
      </c>
      <c r="H6" s="8" t="s">
        <v>14</v>
      </c>
      <c r="I6" s="8"/>
      <c r="J6" s="6"/>
      <c r="K6" s="6"/>
    </row>
    <row r="7" spans="1:11" x14ac:dyDescent="0.2">
      <c r="A7" s="8">
        <v>6</v>
      </c>
      <c r="B7" s="8" t="s">
        <v>73</v>
      </c>
      <c r="C7" s="8">
        <v>74.5</v>
      </c>
      <c r="D7" s="8">
        <v>80.7</v>
      </c>
      <c r="E7" s="8" t="s">
        <v>25</v>
      </c>
      <c r="F7" s="8">
        <v>145</v>
      </c>
      <c r="G7" s="8">
        <v>209</v>
      </c>
      <c r="H7" s="8" t="s">
        <v>14</v>
      </c>
      <c r="I7" s="8"/>
      <c r="J7" s="6"/>
      <c r="K7" s="6"/>
    </row>
    <row r="8" spans="1:11" x14ac:dyDescent="0.2">
      <c r="A8" s="8">
        <v>7</v>
      </c>
      <c r="B8" s="8" t="s">
        <v>74</v>
      </c>
      <c r="C8" s="8">
        <v>76.400000000000006</v>
      </c>
      <c r="D8" s="8">
        <v>83.3</v>
      </c>
      <c r="E8" s="8" t="s">
        <v>25</v>
      </c>
      <c r="F8" s="8">
        <v>401</v>
      </c>
      <c r="G8" s="8">
        <v>462</v>
      </c>
      <c r="H8" s="8" t="s">
        <v>13</v>
      </c>
      <c r="I8" s="12">
        <v>109000</v>
      </c>
      <c r="J8" s="6"/>
      <c r="K8" s="6"/>
    </row>
    <row r="9" spans="1:11" x14ac:dyDescent="0.2">
      <c r="A9" s="8">
        <v>8</v>
      </c>
      <c r="B9" s="8" t="s">
        <v>24</v>
      </c>
      <c r="C9" s="8">
        <v>82.6</v>
      </c>
      <c r="D9" s="8">
        <v>88.7</v>
      </c>
      <c r="E9" s="8" t="s">
        <v>25</v>
      </c>
      <c r="F9" s="8">
        <v>287</v>
      </c>
      <c r="G9" s="8">
        <v>342</v>
      </c>
      <c r="H9" s="8" t="s">
        <v>13</v>
      </c>
      <c r="I9" s="12">
        <v>148000</v>
      </c>
      <c r="J9" s="6"/>
      <c r="K9" s="6"/>
    </row>
    <row r="10" spans="1:11" x14ac:dyDescent="0.2">
      <c r="A10" s="8">
        <v>9</v>
      </c>
      <c r="B10" s="8" t="s">
        <v>74</v>
      </c>
      <c r="C10" s="8">
        <v>76.900000000000006</v>
      </c>
      <c r="D10" s="8">
        <v>75.400000000000006</v>
      </c>
      <c r="E10" s="8" t="s">
        <v>25</v>
      </c>
      <c r="F10" s="8">
        <v>275</v>
      </c>
      <c r="G10" s="8">
        <v>347</v>
      </c>
      <c r="H10" s="8" t="s">
        <v>13</v>
      </c>
      <c r="I10" s="12">
        <v>255500</v>
      </c>
      <c r="J10" s="6"/>
      <c r="K10" s="6"/>
    </row>
    <row r="11" spans="1:11" x14ac:dyDescent="0.2">
      <c r="A11" s="8">
        <v>10</v>
      </c>
      <c r="B11" s="8" t="s">
        <v>73</v>
      </c>
      <c r="C11" s="8">
        <v>83.3</v>
      </c>
      <c r="D11" s="8">
        <v>82.1</v>
      </c>
      <c r="E11" s="8" t="s">
        <v>25</v>
      </c>
      <c r="F11" s="8">
        <v>254</v>
      </c>
      <c r="G11" s="8">
        <v>313</v>
      </c>
      <c r="H11" s="8" t="s">
        <v>13</v>
      </c>
      <c r="I11" s="12">
        <v>103500</v>
      </c>
      <c r="J11" s="6"/>
      <c r="K11" s="6"/>
    </row>
    <row r="12" spans="1:11" x14ac:dyDescent="0.2">
      <c r="A12" s="8">
        <v>11</v>
      </c>
      <c r="B12" s="8" t="s">
        <v>24</v>
      </c>
      <c r="C12" s="8">
        <v>75.8</v>
      </c>
      <c r="D12" s="8">
        <v>87.5</v>
      </c>
      <c r="E12" s="8" t="s">
        <v>25</v>
      </c>
      <c r="F12" s="8">
        <v>182</v>
      </c>
      <c r="G12" s="8">
        <v>232</v>
      </c>
      <c r="H12" s="8" t="s">
        <v>14</v>
      </c>
      <c r="I12" s="8"/>
      <c r="J12" s="6"/>
      <c r="K12" s="6"/>
    </row>
    <row r="13" spans="1:11" x14ac:dyDescent="0.2">
      <c r="A13" s="8">
        <v>12</v>
      </c>
      <c r="B13" s="8" t="s">
        <v>72</v>
      </c>
      <c r="C13" s="8">
        <v>76</v>
      </c>
      <c r="D13" s="8">
        <v>66.900000000000006</v>
      </c>
      <c r="E13" s="8" t="s">
        <v>25</v>
      </c>
      <c r="F13" s="8">
        <v>117</v>
      </c>
      <c r="G13" s="8">
        <v>163</v>
      </c>
      <c r="H13" s="8" t="s">
        <v>13</v>
      </c>
      <c r="I13" s="12">
        <v>114500</v>
      </c>
      <c r="J13" s="6"/>
      <c r="K13" s="6"/>
    </row>
    <row r="14" spans="1:11" x14ac:dyDescent="0.2">
      <c r="A14" s="8">
        <v>13</v>
      </c>
      <c r="B14" s="8" t="s">
        <v>24</v>
      </c>
      <c r="C14" s="8">
        <v>62.8</v>
      </c>
      <c r="D14" s="8">
        <v>71.3</v>
      </c>
      <c r="E14" s="8" t="s">
        <v>25</v>
      </c>
      <c r="F14" s="8">
        <v>130</v>
      </c>
      <c r="G14" s="8">
        <v>119</v>
      </c>
      <c r="H14" s="8" t="s">
        <v>14</v>
      </c>
      <c r="I14" s="8"/>
      <c r="J14" s="6"/>
      <c r="K14" s="6"/>
    </row>
    <row r="15" spans="1:11" x14ac:dyDescent="0.2">
      <c r="A15" s="8">
        <v>14</v>
      </c>
      <c r="B15" s="8" t="s">
        <v>72</v>
      </c>
      <c r="C15" s="8">
        <v>82.8</v>
      </c>
      <c r="D15" s="8">
        <v>76.8</v>
      </c>
      <c r="E15" s="8" t="s">
        <v>25</v>
      </c>
      <c r="F15" s="8">
        <v>219</v>
      </c>
      <c r="G15" s="8">
        <v>304</v>
      </c>
      <c r="H15" s="8" t="s">
        <v>13</v>
      </c>
      <c r="I15" s="12">
        <v>124000</v>
      </c>
      <c r="J15" s="6"/>
      <c r="K15" s="6"/>
    </row>
    <row r="16" spans="1:11" x14ac:dyDescent="0.2">
      <c r="A16" s="8">
        <v>15</v>
      </c>
      <c r="B16" s="8" t="s">
        <v>24</v>
      </c>
      <c r="C16" s="8">
        <v>76</v>
      </c>
      <c r="D16" s="8">
        <v>72.3</v>
      </c>
      <c r="E16" s="8" t="s">
        <v>25</v>
      </c>
      <c r="F16" s="8">
        <v>152</v>
      </c>
      <c r="G16" s="8">
        <v>211</v>
      </c>
      <c r="H16" s="8" t="s">
        <v>13</v>
      </c>
      <c r="I16" s="12">
        <v>132500</v>
      </c>
      <c r="J16" s="6"/>
      <c r="K16" s="6"/>
    </row>
    <row r="17" spans="1:11" x14ac:dyDescent="0.2">
      <c r="A17" s="8">
        <v>16</v>
      </c>
      <c r="B17" s="8" t="s">
        <v>74</v>
      </c>
      <c r="C17" s="8">
        <v>76.900000000000006</v>
      </c>
      <c r="D17" s="8">
        <v>72.400000000000006</v>
      </c>
      <c r="E17" s="8" t="s">
        <v>25</v>
      </c>
      <c r="F17" s="8">
        <v>228</v>
      </c>
      <c r="G17" s="8">
        <v>286</v>
      </c>
      <c r="H17" s="8" t="s">
        <v>13</v>
      </c>
      <c r="I17" s="12">
        <v>99000</v>
      </c>
      <c r="J17" s="6"/>
      <c r="K17" s="6"/>
    </row>
    <row r="18" spans="1:11" x14ac:dyDescent="0.2">
      <c r="A18" s="8">
        <v>17</v>
      </c>
      <c r="B18" s="8" t="s">
        <v>73</v>
      </c>
      <c r="C18" s="8">
        <v>75.8</v>
      </c>
      <c r="D18" s="8">
        <v>72</v>
      </c>
      <c r="E18" s="8" t="s">
        <v>27</v>
      </c>
      <c r="F18" s="8">
        <v>62</v>
      </c>
      <c r="G18" s="8">
        <v>122</v>
      </c>
      <c r="H18" s="8" t="s">
        <v>14</v>
      </c>
      <c r="I18" s="8"/>
      <c r="J18" s="6"/>
      <c r="K18" s="6"/>
    </row>
    <row r="19" spans="1:11" x14ac:dyDescent="0.2">
      <c r="A19" s="8">
        <v>18</v>
      </c>
      <c r="B19" s="8" t="s">
        <v>75</v>
      </c>
      <c r="C19" s="8">
        <v>78</v>
      </c>
      <c r="D19" s="8">
        <v>81</v>
      </c>
      <c r="E19" s="8" t="s">
        <v>25</v>
      </c>
      <c r="F19" s="8">
        <v>393</v>
      </c>
      <c r="G19" s="8">
        <v>443</v>
      </c>
      <c r="H19" s="8" t="s">
        <v>13</v>
      </c>
      <c r="I19" s="12">
        <v>124000</v>
      </c>
      <c r="J19" s="6"/>
      <c r="K19" s="6"/>
    </row>
    <row r="20" spans="1:11" x14ac:dyDescent="0.2">
      <c r="A20" s="8">
        <v>19</v>
      </c>
      <c r="B20" s="8" t="s">
        <v>24</v>
      </c>
      <c r="C20" s="8">
        <v>82.4</v>
      </c>
      <c r="D20" s="8">
        <v>96.1</v>
      </c>
      <c r="E20" s="8" t="s">
        <v>25</v>
      </c>
      <c r="F20" s="8">
        <v>277</v>
      </c>
      <c r="G20" s="8">
        <v>366</v>
      </c>
      <c r="H20" s="8" t="s">
        <v>14</v>
      </c>
      <c r="I20" s="8"/>
      <c r="J20" s="6"/>
      <c r="K20" s="6"/>
    </row>
    <row r="21" spans="1:11" x14ac:dyDescent="0.2">
      <c r="A21" s="8">
        <v>20</v>
      </c>
      <c r="B21" s="8" t="s">
        <v>73</v>
      </c>
      <c r="C21" s="8">
        <v>76.2</v>
      </c>
      <c r="D21" s="8">
        <v>76.7</v>
      </c>
      <c r="E21" s="8" t="s">
        <v>25</v>
      </c>
      <c r="F21" s="8">
        <v>206</v>
      </c>
      <c r="G21" s="8">
        <v>244</v>
      </c>
      <c r="H21" s="8" t="s">
        <v>14</v>
      </c>
      <c r="I21" s="8"/>
      <c r="J21" s="6"/>
      <c r="K21" s="6"/>
    </row>
    <row r="22" spans="1:11" x14ac:dyDescent="0.2">
      <c r="A22" s="8">
        <v>21</v>
      </c>
      <c r="B22" s="8" t="s">
        <v>24</v>
      </c>
      <c r="C22" s="8">
        <v>62.5</v>
      </c>
      <c r="D22" s="8">
        <v>80.3</v>
      </c>
      <c r="E22" s="8" t="s">
        <v>25</v>
      </c>
      <c r="F22" s="8">
        <v>229</v>
      </c>
      <c r="G22" s="8">
        <v>241</v>
      </c>
      <c r="H22" s="8" t="s">
        <v>14</v>
      </c>
      <c r="I22" s="8"/>
      <c r="J22" s="6"/>
      <c r="K22" s="6"/>
    </row>
    <row r="23" spans="1:11" x14ac:dyDescent="0.2">
      <c r="A23" s="8">
        <v>22</v>
      </c>
      <c r="B23" s="8" t="s">
        <v>75</v>
      </c>
      <c r="C23" s="8">
        <v>78</v>
      </c>
      <c r="D23" s="8">
        <v>77.8</v>
      </c>
      <c r="E23" s="8" t="s">
        <v>25</v>
      </c>
      <c r="F23" s="8">
        <v>182</v>
      </c>
      <c r="G23" s="8">
        <v>237</v>
      </c>
      <c r="H23" s="8" t="s">
        <v>13</v>
      </c>
      <c r="I23" s="12">
        <v>82000</v>
      </c>
      <c r="J23" s="6"/>
      <c r="K23" s="6"/>
    </row>
    <row r="24" spans="1:11" x14ac:dyDescent="0.2">
      <c r="A24" s="8">
        <v>23</v>
      </c>
      <c r="B24" s="8" t="s">
        <v>72</v>
      </c>
      <c r="C24" s="8">
        <v>66.5</v>
      </c>
      <c r="D24" s="8">
        <v>62.6</v>
      </c>
      <c r="E24" s="8" t="s">
        <v>25</v>
      </c>
      <c r="F24" s="8">
        <v>98</v>
      </c>
      <c r="G24" s="8">
        <v>122</v>
      </c>
      <c r="H24" s="8" t="s">
        <v>14</v>
      </c>
      <c r="I24" s="8"/>
      <c r="J24" s="6"/>
      <c r="K24" s="6"/>
    </row>
    <row r="25" spans="1:11" x14ac:dyDescent="0.2">
      <c r="A25" s="8">
        <v>24</v>
      </c>
      <c r="B25" s="8" t="s">
        <v>73</v>
      </c>
      <c r="C25" s="8">
        <v>63.5</v>
      </c>
      <c r="D25" s="8">
        <v>80.2</v>
      </c>
      <c r="E25" s="8" t="s">
        <v>25</v>
      </c>
      <c r="F25" s="8">
        <v>125</v>
      </c>
      <c r="G25" s="8">
        <v>129</v>
      </c>
      <c r="H25" s="8" t="s">
        <v>14</v>
      </c>
      <c r="I25" s="8"/>
      <c r="J25" s="6"/>
      <c r="K25" s="6"/>
    </row>
    <row r="26" spans="1:11" x14ac:dyDescent="0.2">
      <c r="A26" s="8">
        <v>25</v>
      </c>
      <c r="B26" s="8" t="s">
        <v>24</v>
      </c>
      <c r="C26" s="8">
        <v>82.6</v>
      </c>
      <c r="D26" s="8">
        <v>79.099999999999994</v>
      </c>
      <c r="E26" s="8" t="s">
        <v>25</v>
      </c>
      <c r="F26" s="8">
        <v>164</v>
      </c>
      <c r="G26" s="8">
        <v>236</v>
      </c>
      <c r="H26" s="8" t="s">
        <v>13</v>
      </c>
      <c r="I26" s="12">
        <v>185000</v>
      </c>
      <c r="J26" s="6"/>
      <c r="K26" s="6"/>
    </row>
    <row r="27" spans="1:11" x14ac:dyDescent="0.2">
      <c r="A27" s="8">
        <v>26</v>
      </c>
      <c r="B27" s="8" t="s">
        <v>73</v>
      </c>
      <c r="C27" s="8">
        <v>79.2</v>
      </c>
      <c r="D27" s="8">
        <v>77.8</v>
      </c>
      <c r="E27" s="8" t="s">
        <v>25</v>
      </c>
      <c r="F27" s="8">
        <v>186</v>
      </c>
      <c r="G27" s="8">
        <v>251</v>
      </c>
      <c r="H27" s="8" t="s">
        <v>13</v>
      </c>
      <c r="I27" s="12">
        <v>89500</v>
      </c>
      <c r="J27" s="6"/>
      <c r="K27" s="6"/>
    </row>
    <row r="28" spans="1:11" x14ac:dyDescent="0.2">
      <c r="A28" s="8">
        <v>27</v>
      </c>
      <c r="B28" s="8" t="s">
        <v>73</v>
      </c>
      <c r="C28" s="8">
        <v>75</v>
      </c>
      <c r="D28" s="8">
        <v>75.099999999999994</v>
      </c>
      <c r="E28" s="8" t="s">
        <v>25</v>
      </c>
      <c r="F28" s="8">
        <v>235</v>
      </c>
      <c r="G28" s="8">
        <v>283</v>
      </c>
      <c r="H28" s="8" t="s">
        <v>13</v>
      </c>
      <c r="I28" s="12">
        <v>91500</v>
      </c>
      <c r="J28" s="6"/>
      <c r="K28" s="6"/>
    </row>
    <row r="29" spans="1:11" x14ac:dyDescent="0.2">
      <c r="A29" s="8">
        <v>28</v>
      </c>
      <c r="B29" s="8" t="s">
        <v>75</v>
      </c>
      <c r="C29" s="8">
        <v>74.400000000000006</v>
      </c>
      <c r="D29" s="8">
        <v>82.2</v>
      </c>
      <c r="E29" s="8" t="s">
        <v>25</v>
      </c>
      <c r="F29" s="8">
        <v>184</v>
      </c>
      <c r="G29" s="8">
        <v>225</v>
      </c>
      <c r="H29" s="8" t="s">
        <v>14</v>
      </c>
      <c r="I29" s="8"/>
      <c r="J29" s="6"/>
      <c r="K29" s="6"/>
    </row>
    <row r="30" spans="1:11" x14ac:dyDescent="0.2">
      <c r="A30" s="8">
        <v>29</v>
      </c>
      <c r="B30" s="8" t="s">
        <v>74</v>
      </c>
      <c r="C30" s="8">
        <v>67.900000000000006</v>
      </c>
      <c r="D30" s="8">
        <v>70.5</v>
      </c>
      <c r="E30" s="8" t="s">
        <v>25</v>
      </c>
      <c r="F30" s="8">
        <v>76</v>
      </c>
      <c r="G30" s="8">
        <v>102</v>
      </c>
      <c r="H30" s="8" t="s">
        <v>14</v>
      </c>
      <c r="I30" s="8"/>
      <c r="J30" s="6"/>
      <c r="K30" s="6"/>
    </row>
    <row r="31" spans="1:11" x14ac:dyDescent="0.2">
      <c r="A31" s="8">
        <v>30</v>
      </c>
      <c r="B31" s="8" t="s">
        <v>75</v>
      </c>
      <c r="C31" s="8">
        <v>76.8</v>
      </c>
      <c r="D31" s="8">
        <v>70.8</v>
      </c>
      <c r="E31" s="8" t="s">
        <v>25</v>
      </c>
      <c r="F31" s="8">
        <v>126</v>
      </c>
      <c r="G31" s="8">
        <v>180</v>
      </c>
      <c r="H31" s="8" t="s">
        <v>13</v>
      </c>
      <c r="I31" s="12">
        <v>113500</v>
      </c>
      <c r="J31" s="6"/>
      <c r="K31" s="6"/>
    </row>
    <row r="32" spans="1:11" x14ac:dyDescent="0.2">
      <c r="A32" s="8">
        <v>31</v>
      </c>
      <c r="B32" s="8" t="s">
        <v>24</v>
      </c>
      <c r="C32" s="8">
        <v>83</v>
      </c>
      <c r="D32" s="8">
        <v>87.5</v>
      </c>
      <c r="E32" s="8" t="s">
        <v>25</v>
      </c>
      <c r="F32" s="8">
        <v>183</v>
      </c>
      <c r="G32" s="8">
        <v>247</v>
      </c>
      <c r="H32" s="8" t="s">
        <v>14</v>
      </c>
      <c r="I32" s="8"/>
      <c r="J32" s="6"/>
      <c r="K32" s="6"/>
    </row>
    <row r="33" spans="1:11" x14ac:dyDescent="0.2">
      <c r="A33" s="8">
        <v>32</v>
      </c>
      <c r="B33" s="8" t="s">
        <v>73</v>
      </c>
      <c r="C33" s="8">
        <v>88.9</v>
      </c>
      <c r="D33" s="8">
        <v>79.5</v>
      </c>
      <c r="E33" s="8" t="s">
        <v>25</v>
      </c>
      <c r="F33" s="8">
        <v>242</v>
      </c>
      <c r="G33" s="8">
        <v>343</v>
      </c>
      <c r="H33" s="8" t="s">
        <v>14</v>
      </c>
      <c r="I33" s="8"/>
      <c r="J33" s="6"/>
      <c r="K33" s="6"/>
    </row>
    <row r="34" spans="1:11" x14ac:dyDescent="0.2">
      <c r="A34" s="8">
        <v>33</v>
      </c>
      <c r="B34" s="8" t="s">
        <v>24</v>
      </c>
      <c r="C34" s="8">
        <v>76.5</v>
      </c>
      <c r="D34" s="8">
        <v>80.8</v>
      </c>
      <c r="E34" s="8" t="s">
        <v>25</v>
      </c>
      <c r="F34" s="8">
        <v>207</v>
      </c>
      <c r="G34" s="8">
        <v>283</v>
      </c>
      <c r="H34" s="8" t="s">
        <v>14</v>
      </c>
      <c r="I34" s="8"/>
      <c r="J34" s="6"/>
      <c r="K34" s="6"/>
    </row>
    <row r="35" spans="1:11" x14ac:dyDescent="0.2">
      <c r="A35" s="8">
        <v>34</v>
      </c>
      <c r="B35" s="8" t="s">
        <v>74</v>
      </c>
      <c r="C35" s="8">
        <v>79.900000000000006</v>
      </c>
      <c r="D35" s="8">
        <v>79.599999999999994</v>
      </c>
      <c r="E35" s="8" t="s">
        <v>27</v>
      </c>
      <c r="F35" s="8">
        <v>181</v>
      </c>
      <c r="G35" s="8">
        <v>253</v>
      </c>
      <c r="H35" s="8" t="s">
        <v>13</v>
      </c>
      <c r="I35" s="12">
        <v>99000</v>
      </c>
      <c r="J35" s="6"/>
      <c r="K35" s="6"/>
    </row>
    <row r="36" spans="1:11" x14ac:dyDescent="0.2">
      <c r="A36" s="8">
        <v>35</v>
      </c>
      <c r="B36" s="8" t="s">
        <v>24</v>
      </c>
      <c r="C36" s="8">
        <v>70.400000000000006</v>
      </c>
      <c r="D36" s="8">
        <v>88.9</v>
      </c>
      <c r="E36" s="8" t="s">
        <v>25</v>
      </c>
      <c r="F36" s="8">
        <v>239</v>
      </c>
      <c r="G36" s="8">
        <v>263</v>
      </c>
      <c r="H36" s="8" t="s">
        <v>14</v>
      </c>
      <c r="I36" s="8"/>
      <c r="J36" s="6"/>
      <c r="K36" s="6"/>
    </row>
    <row r="37" spans="1:11" x14ac:dyDescent="0.2">
      <c r="A37" s="8">
        <v>36</v>
      </c>
      <c r="B37" s="8" t="s">
        <v>75</v>
      </c>
      <c r="C37" s="8">
        <v>83.4</v>
      </c>
      <c r="D37" s="8">
        <v>85.9</v>
      </c>
      <c r="E37" s="8" t="s">
        <v>25</v>
      </c>
      <c r="F37" s="8">
        <v>216</v>
      </c>
      <c r="G37" s="8">
        <v>291</v>
      </c>
      <c r="H37" s="8" t="s">
        <v>13</v>
      </c>
      <c r="I37" s="12">
        <v>75500</v>
      </c>
      <c r="J37" s="6"/>
      <c r="K37" s="6"/>
    </row>
    <row r="38" spans="1:11" x14ac:dyDescent="0.2">
      <c r="A38" s="8">
        <v>37</v>
      </c>
      <c r="B38" s="8" t="s">
        <v>24</v>
      </c>
      <c r="C38" s="8">
        <v>79.2</v>
      </c>
      <c r="D38" s="8">
        <v>82.3</v>
      </c>
      <c r="E38" s="8" t="s">
        <v>27</v>
      </c>
      <c r="F38" s="8">
        <v>289</v>
      </c>
      <c r="G38" s="8">
        <v>368</v>
      </c>
      <c r="H38" s="8" t="s">
        <v>13</v>
      </c>
      <c r="I38" s="12">
        <v>86000</v>
      </c>
      <c r="J38" s="6"/>
      <c r="K38" s="6"/>
    </row>
    <row r="39" spans="1:11" x14ac:dyDescent="0.2">
      <c r="A39" s="8">
        <v>38</v>
      </c>
      <c r="B39" s="8" t="s">
        <v>72</v>
      </c>
      <c r="C39" s="8">
        <v>61.2</v>
      </c>
      <c r="D39" s="8">
        <v>76.7</v>
      </c>
      <c r="E39" s="8" t="s">
        <v>25</v>
      </c>
      <c r="F39" s="8">
        <v>213</v>
      </c>
      <c r="G39" s="8">
        <v>206</v>
      </c>
      <c r="H39" s="8" t="s">
        <v>14</v>
      </c>
      <c r="I39" s="8"/>
      <c r="J39" s="6"/>
      <c r="K39" s="6"/>
    </row>
    <row r="40" spans="1:11" x14ac:dyDescent="0.2">
      <c r="A40" s="8">
        <v>39</v>
      </c>
      <c r="B40" s="8" t="s">
        <v>75</v>
      </c>
      <c r="C40" s="8">
        <v>64</v>
      </c>
      <c r="D40" s="8">
        <v>79.900000000000006</v>
      </c>
      <c r="E40" s="8" t="s">
        <v>25</v>
      </c>
      <c r="F40" s="8">
        <v>209</v>
      </c>
      <c r="G40" s="8">
        <v>231</v>
      </c>
      <c r="H40" s="8" t="s">
        <v>14</v>
      </c>
      <c r="I40" s="8"/>
      <c r="J40" s="6"/>
      <c r="K40" s="6"/>
    </row>
    <row r="41" spans="1:11" x14ac:dyDescent="0.2">
      <c r="A41" s="8">
        <v>40</v>
      </c>
      <c r="B41" s="8" t="s">
        <v>75</v>
      </c>
      <c r="C41" s="8">
        <v>68</v>
      </c>
      <c r="D41" s="8">
        <v>86.2</v>
      </c>
      <c r="E41" s="8" t="s">
        <v>27</v>
      </c>
      <c r="F41" s="8">
        <v>376</v>
      </c>
      <c r="G41" s="8">
        <v>389</v>
      </c>
      <c r="H41" s="8" t="s">
        <v>14</v>
      </c>
      <c r="I41" s="8"/>
      <c r="J41" s="6"/>
      <c r="K41" s="6"/>
    </row>
    <row r="42" spans="1:11" x14ac:dyDescent="0.2">
      <c r="A42" s="8">
        <v>41</v>
      </c>
      <c r="B42" s="8" t="s">
        <v>72</v>
      </c>
      <c r="C42" s="8">
        <v>78.5</v>
      </c>
      <c r="D42" s="8">
        <v>79.2</v>
      </c>
      <c r="E42" s="8" t="s">
        <v>25</v>
      </c>
      <c r="F42" s="8">
        <v>332</v>
      </c>
      <c r="G42" s="8">
        <v>396</v>
      </c>
      <c r="H42" s="8" t="s">
        <v>13</v>
      </c>
      <c r="I42" s="12">
        <v>156500</v>
      </c>
      <c r="J42" s="6"/>
      <c r="K42" s="6"/>
    </row>
    <row r="43" spans="1:11" x14ac:dyDescent="0.2">
      <c r="A43" s="8">
        <v>42</v>
      </c>
      <c r="B43" s="8" t="s">
        <v>24</v>
      </c>
      <c r="C43" s="8">
        <v>83</v>
      </c>
      <c r="D43" s="8">
        <v>83.4</v>
      </c>
      <c r="E43" s="8" t="s">
        <v>27</v>
      </c>
      <c r="F43" s="8">
        <v>249</v>
      </c>
      <c r="G43" s="8">
        <v>339</v>
      </c>
      <c r="H43" s="8" t="s">
        <v>13</v>
      </c>
      <c r="I43" s="12">
        <v>99500</v>
      </c>
      <c r="J43" s="6"/>
      <c r="K43" s="6"/>
    </row>
    <row r="44" spans="1:11" x14ac:dyDescent="0.2">
      <c r="A44" s="8">
        <v>43</v>
      </c>
      <c r="B44" s="8" t="s">
        <v>74</v>
      </c>
      <c r="C44" s="8">
        <v>75.2</v>
      </c>
      <c r="D44" s="8">
        <v>85.2</v>
      </c>
      <c r="E44" s="8" t="s">
        <v>27</v>
      </c>
      <c r="F44" s="8">
        <v>228</v>
      </c>
      <c r="G44" s="8">
        <v>286</v>
      </c>
      <c r="H44" s="8" t="s">
        <v>13</v>
      </c>
      <c r="I44" s="12">
        <v>148000</v>
      </c>
      <c r="J44" s="6"/>
      <c r="K44" s="6"/>
    </row>
    <row r="45" spans="1:11" x14ac:dyDescent="0.2">
      <c r="A45" s="8">
        <v>44</v>
      </c>
      <c r="B45" s="8" t="s">
        <v>24</v>
      </c>
      <c r="C45" s="8">
        <v>68.099999999999994</v>
      </c>
      <c r="D45" s="8">
        <v>77.8</v>
      </c>
      <c r="E45" s="8" t="s">
        <v>25</v>
      </c>
      <c r="F45" s="8">
        <v>124</v>
      </c>
      <c r="G45" s="8">
        <v>146</v>
      </c>
      <c r="H45" s="8" t="s">
        <v>14</v>
      </c>
      <c r="I45" s="8"/>
      <c r="J45" s="6"/>
      <c r="K45" s="6"/>
    </row>
    <row r="46" spans="1:11" x14ac:dyDescent="0.2">
      <c r="A46" s="8">
        <v>45</v>
      </c>
      <c r="B46" s="8" t="s">
        <v>74</v>
      </c>
      <c r="C46" s="8">
        <v>93.6</v>
      </c>
      <c r="D46" s="8">
        <v>80.2</v>
      </c>
      <c r="E46" s="8" t="s">
        <v>25</v>
      </c>
      <c r="F46" s="8">
        <v>194</v>
      </c>
      <c r="G46" s="8">
        <v>315</v>
      </c>
      <c r="H46" s="8" t="s">
        <v>13</v>
      </c>
      <c r="I46" s="12">
        <v>82000</v>
      </c>
      <c r="J46" s="6"/>
      <c r="K46" s="6"/>
    </row>
    <row r="47" spans="1:11" x14ac:dyDescent="0.2">
      <c r="A47" s="8">
        <v>46</v>
      </c>
      <c r="B47" s="8" t="s">
        <v>24</v>
      </c>
      <c r="C47" s="8">
        <v>75.599999999999994</v>
      </c>
      <c r="D47" s="8">
        <v>71</v>
      </c>
      <c r="E47" s="8" t="s">
        <v>27</v>
      </c>
      <c r="F47" s="8">
        <v>157</v>
      </c>
      <c r="G47" s="8">
        <v>183</v>
      </c>
      <c r="H47" s="8" t="s">
        <v>14</v>
      </c>
      <c r="I47" s="8"/>
      <c r="J47" s="6"/>
      <c r="K47" s="6"/>
    </row>
    <row r="48" spans="1:11" x14ac:dyDescent="0.2">
      <c r="A48" s="8">
        <v>47</v>
      </c>
      <c r="B48" s="8" t="s">
        <v>24</v>
      </c>
      <c r="C48" s="8">
        <v>82.3</v>
      </c>
      <c r="D48" s="8">
        <v>87.2</v>
      </c>
      <c r="E48" s="8" t="s">
        <v>25</v>
      </c>
      <c r="F48" s="8">
        <v>402</v>
      </c>
      <c r="G48" s="8">
        <v>481</v>
      </c>
      <c r="H48" s="8" t="s">
        <v>13</v>
      </c>
      <c r="I48" s="12">
        <v>103500</v>
      </c>
      <c r="J48" s="6"/>
      <c r="K48" s="6"/>
    </row>
    <row r="49" spans="1:11" x14ac:dyDescent="0.2">
      <c r="A49" s="8">
        <v>48</v>
      </c>
      <c r="B49" s="8" t="s">
        <v>24</v>
      </c>
      <c r="C49" s="8">
        <v>71.400000000000006</v>
      </c>
      <c r="D49" s="8">
        <v>82.9</v>
      </c>
      <c r="E49" s="8" t="s">
        <v>25</v>
      </c>
      <c r="F49" s="8">
        <v>323</v>
      </c>
      <c r="G49" s="8">
        <v>349</v>
      </c>
      <c r="H49" s="8" t="s">
        <v>14</v>
      </c>
      <c r="I49" s="8"/>
      <c r="J49" s="6"/>
      <c r="K49" s="6"/>
    </row>
    <row r="50" spans="1:11" x14ac:dyDescent="0.2">
      <c r="A50" s="8">
        <v>49</v>
      </c>
      <c r="B50" s="8" t="s">
        <v>72</v>
      </c>
      <c r="C50" s="8">
        <v>71.900000000000006</v>
      </c>
      <c r="D50" s="8">
        <v>73.5</v>
      </c>
      <c r="E50" s="8" t="s">
        <v>25</v>
      </c>
      <c r="F50" s="8">
        <v>181</v>
      </c>
      <c r="G50" s="8">
        <v>225</v>
      </c>
      <c r="H50" s="8" t="s">
        <v>13</v>
      </c>
      <c r="I50" s="12">
        <v>205500</v>
      </c>
      <c r="J50" s="6"/>
      <c r="K50" s="6"/>
    </row>
    <row r="51" spans="1:11" x14ac:dyDescent="0.2">
      <c r="A51" s="8">
        <v>50</v>
      </c>
      <c r="B51" s="8" t="s">
        <v>75</v>
      </c>
      <c r="C51" s="8">
        <v>79.099999999999994</v>
      </c>
      <c r="D51" s="8">
        <v>74.599999999999994</v>
      </c>
      <c r="E51" s="8" t="s">
        <v>25</v>
      </c>
      <c r="F51" s="8">
        <v>157</v>
      </c>
      <c r="G51" s="8">
        <v>217</v>
      </c>
      <c r="H51" s="8" t="s">
        <v>13</v>
      </c>
      <c r="I51" s="12">
        <v>103500</v>
      </c>
      <c r="J51" s="6"/>
      <c r="K51" s="6"/>
    </row>
    <row r="52" spans="1:11" x14ac:dyDescent="0.2">
      <c r="A52" s="8">
        <v>51</v>
      </c>
      <c r="B52" s="8" t="s">
        <v>24</v>
      </c>
      <c r="C52" s="8">
        <v>88.7</v>
      </c>
      <c r="D52" s="8">
        <v>75.099999999999994</v>
      </c>
      <c r="E52" s="8" t="s">
        <v>27</v>
      </c>
      <c r="F52" s="8">
        <v>266</v>
      </c>
      <c r="G52" s="8">
        <v>353</v>
      </c>
      <c r="H52" s="8" t="s">
        <v>13</v>
      </c>
      <c r="I52" s="12">
        <v>340000</v>
      </c>
      <c r="J52" s="6"/>
      <c r="K52" s="6"/>
    </row>
    <row r="53" spans="1:11" x14ac:dyDescent="0.2">
      <c r="A53" s="8">
        <v>52</v>
      </c>
      <c r="B53" s="8" t="s">
        <v>72</v>
      </c>
      <c r="C53" s="8">
        <v>69.400000000000006</v>
      </c>
      <c r="D53" s="8">
        <v>85.1</v>
      </c>
      <c r="E53" s="8" t="s">
        <v>25</v>
      </c>
      <c r="F53" s="8">
        <v>268</v>
      </c>
      <c r="G53" s="8">
        <v>314</v>
      </c>
      <c r="H53" s="8" t="s">
        <v>14</v>
      </c>
      <c r="I53" s="8"/>
      <c r="J53" s="6"/>
      <c r="K53" s="6"/>
    </row>
    <row r="54" spans="1:11" x14ac:dyDescent="0.2">
      <c r="A54" s="8">
        <v>53</v>
      </c>
      <c r="B54" s="8" t="s">
        <v>24</v>
      </c>
      <c r="C54" s="8">
        <v>80.3</v>
      </c>
      <c r="D54" s="8">
        <v>74.900000000000006</v>
      </c>
      <c r="E54" s="8" t="s">
        <v>27</v>
      </c>
      <c r="F54" s="8">
        <v>167</v>
      </c>
      <c r="G54" s="8">
        <v>247</v>
      </c>
      <c r="H54" s="8" t="s">
        <v>13</v>
      </c>
      <c r="I54" s="12">
        <v>103500</v>
      </c>
      <c r="J54" s="6"/>
      <c r="K54" s="6"/>
    </row>
    <row r="55" spans="1:11" x14ac:dyDescent="0.2">
      <c r="A55" s="8">
        <v>54</v>
      </c>
      <c r="B55" s="8" t="s">
        <v>74</v>
      </c>
      <c r="C55" s="8">
        <v>83</v>
      </c>
      <c r="D55" s="8">
        <v>84.6</v>
      </c>
      <c r="E55" s="8" t="s">
        <v>27</v>
      </c>
      <c r="F55" s="8">
        <v>342</v>
      </c>
      <c r="G55" s="8">
        <v>410</v>
      </c>
      <c r="H55" s="8" t="s">
        <v>13</v>
      </c>
      <c r="I55" s="12">
        <v>99500</v>
      </c>
      <c r="J55" s="6"/>
      <c r="K55" s="6"/>
    </row>
    <row r="56" spans="1:11" x14ac:dyDescent="0.2">
      <c r="A56" s="8">
        <v>55</v>
      </c>
      <c r="B56" s="8" t="s">
        <v>24</v>
      </c>
      <c r="C56" s="8">
        <v>74.099999999999994</v>
      </c>
      <c r="D56" s="8">
        <v>81.7</v>
      </c>
      <c r="E56" s="8" t="s">
        <v>27</v>
      </c>
      <c r="F56" s="8">
        <v>349</v>
      </c>
      <c r="G56" s="8">
        <v>395</v>
      </c>
      <c r="H56" s="8" t="s">
        <v>13</v>
      </c>
      <c r="I56" s="12">
        <v>103000</v>
      </c>
      <c r="J56" s="6"/>
      <c r="K56" s="6"/>
    </row>
    <row r="57" spans="1:11" x14ac:dyDescent="0.2">
      <c r="A57" s="8">
        <v>56</v>
      </c>
      <c r="B57" s="8" t="s">
        <v>72</v>
      </c>
      <c r="C57" s="8">
        <v>79.400000000000006</v>
      </c>
      <c r="D57" s="8">
        <v>81.400000000000006</v>
      </c>
      <c r="E57" s="8" t="s">
        <v>25</v>
      </c>
      <c r="F57" s="8">
        <v>340</v>
      </c>
      <c r="G57" s="8">
        <v>416</v>
      </c>
      <c r="H57" s="8" t="s">
        <v>13</v>
      </c>
      <c r="I57" s="12">
        <v>103500</v>
      </c>
      <c r="J57" s="6"/>
      <c r="K57" s="6"/>
    </row>
    <row r="58" spans="1:11" x14ac:dyDescent="0.2">
      <c r="A58" s="8">
        <v>57</v>
      </c>
      <c r="B58" s="8" t="s">
        <v>24</v>
      </c>
      <c r="C58" s="8">
        <v>88.1</v>
      </c>
      <c r="D58" s="8">
        <v>83.8</v>
      </c>
      <c r="E58" s="8" t="s">
        <v>27</v>
      </c>
      <c r="F58" s="8">
        <v>227</v>
      </c>
      <c r="G58" s="8">
        <v>342</v>
      </c>
      <c r="H58" s="8" t="s">
        <v>13</v>
      </c>
      <c r="I58" s="12">
        <v>165000</v>
      </c>
      <c r="J58" s="6"/>
      <c r="K58" s="6"/>
    </row>
    <row r="59" spans="1:11" x14ac:dyDescent="0.2">
      <c r="A59" s="8">
        <v>58</v>
      </c>
      <c r="B59" s="8" t="s">
        <v>73</v>
      </c>
      <c r="C59" s="8">
        <v>74.599999999999994</v>
      </c>
      <c r="D59" s="8">
        <v>88.5</v>
      </c>
      <c r="E59" s="8" t="s">
        <v>27</v>
      </c>
      <c r="F59" s="8">
        <v>409</v>
      </c>
      <c r="G59" s="8">
        <v>446</v>
      </c>
      <c r="H59" s="8" t="s">
        <v>13</v>
      </c>
      <c r="I59" s="12">
        <v>124500</v>
      </c>
      <c r="J59" s="6"/>
      <c r="K59" s="6"/>
    </row>
    <row r="60" spans="1:11" x14ac:dyDescent="0.2">
      <c r="A60" s="8">
        <v>59</v>
      </c>
      <c r="B60" s="8" t="s">
        <v>73</v>
      </c>
      <c r="C60" s="8">
        <v>87.1</v>
      </c>
      <c r="D60" s="8">
        <v>84.9</v>
      </c>
      <c r="E60" s="8" t="s">
        <v>27</v>
      </c>
      <c r="F60" s="8">
        <v>400</v>
      </c>
      <c r="G60" s="8">
        <v>477</v>
      </c>
      <c r="H60" s="8" t="s">
        <v>13</v>
      </c>
      <c r="I60" s="12">
        <v>103500</v>
      </c>
      <c r="J60" s="6"/>
      <c r="K60" s="6"/>
    </row>
    <row r="61" spans="1:11" x14ac:dyDescent="0.2">
      <c r="A61" s="8">
        <v>60</v>
      </c>
      <c r="B61" s="8" t="s">
        <v>73</v>
      </c>
      <c r="C61" s="8">
        <v>79.7</v>
      </c>
      <c r="D61" s="8">
        <v>84.3</v>
      </c>
      <c r="E61" s="8" t="s">
        <v>25</v>
      </c>
      <c r="F61" s="8">
        <v>374</v>
      </c>
      <c r="G61" s="8">
        <v>444</v>
      </c>
      <c r="H61" s="8" t="s">
        <v>13</v>
      </c>
      <c r="I61" s="12">
        <v>82500</v>
      </c>
      <c r="J61" s="6"/>
      <c r="K61" s="6"/>
    </row>
    <row r="62" spans="1:11" x14ac:dyDescent="0.2">
      <c r="A62" s="8">
        <v>61</v>
      </c>
      <c r="B62" s="8" t="s">
        <v>73</v>
      </c>
      <c r="C62" s="8">
        <v>82.1</v>
      </c>
      <c r="D62" s="8">
        <v>78.2</v>
      </c>
      <c r="E62" s="8" t="s">
        <v>25</v>
      </c>
      <c r="F62" s="8">
        <v>255</v>
      </c>
      <c r="G62" s="8">
        <v>351</v>
      </c>
      <c r="H62" s="8" t="s">
        <v>13</v>
      </c>
      <c r="I62" s="12">
        <v>93000</v>
      </c>
      <c r="J62" s="6"/>
      <c r="K62" s="6"/>
    </row>
    <row r="63" spans="1:11" x14ac:dyDescent="0.2">
      <c r="A63" s="8">
        <v>62</v>
      </c>
      <c r="B63" s="8" t="s">
        <v>74</v>
      </c>
      <c r="C63" s="8">
        <v>70.2</v>
      </c>
      <c r="D63" s="8">
        <v>80</v>
      </c>
      <c r="E63" s="8" t="s">
        <v>25</v>
      </c>
      <c r="F63" s="8">
        <v>146</v>
      </c>
      <c r="G63" s="8">
        <v>165</v>
      </c>
      <c r="H63" s="8" t="s">
        <v>14</v>
      </c>
      <c r="I63" s="8"/>
      <c r="J63" s="6"/>
      <c r="K63" s="6"/>
    </row>
    <row r="64" spans="1:11" x14ac:dyDescent="0.2">
      <c r="A64" s="8">
        <v>63</v>
      </c>
      <c r="B64" s="8" t="s">
        <v>24</v>
      </c>
      <c r="C64" s="8">
        <v>81.7</v>
      </c>
      <c r="D64" s="8">
        <v>74.8</v>
      </c>
      <c r="E64" s="8" t="s">
        <v>25</v>
      </c>
      <c r="F64" s="8">
        <v>248</v>
      </c>
      <c r="G64" s="8">
        <v>317</v>
      </c>
      <c r="H64" s="8" t="s">
        <v>13</v>
      </c>
      <c r="I64" s="12">
        <v>168000</v>
      </c>
      <c r="J64" s="6"/>
      <c r="K64" s="6"/>
    </row>
    <row r="65" spans="1:11" x14ac:dyDescent="0.2">
      <c r="A65" s="8">
        <v>64</v>
      </c>
      <c r="B65" s="8" t="s">
        <v>73</v>
      </c>
      <c r="C65" s="8">
        <v>76.099999999999994</v>
      </c>
      <c r="D65" s="8">
        <v>78.5</v>
      </c>
      <c r="E65" s="8" t="s">
        <v>25</v>
      </c>
      <c r="F65" s="8">
        <v>198</v>
      </c>
      <c r="G65" s="8">
        <v>250</v>
      </c>
      <c r="H65" s="8" t="s">
        <v>13</v>
      </c>
      <c r="I65" s="12">
        <v>96000</v>
      </c>
      <c r="J65" s="6"/>
      <c r="K65" s="6"/>
    </row>
    <row r="66" spans="1:11" x14ac:dyDescent="0.2">
      <c r="A66" s="8">
        <v>65</v>
      </c>
      <c r="B66" s="8" t="s">
        <v>72</v>
      </c>
      <c r="C66" s="8">
        <v>65.400000000000006</v>
      </c>
      <c r="D66" s="8">
        <v>71.8</v>
      </c>
      <c r="E66" s="8" t="s">
        <v>27</v>
      </c>
      <c r="F66" s="8">
        <v>210</v>
      </c>
      <c r="G66" s="8">
        <v>217</v>
      </c>
      <c r="H66" s="8" t="s">
        <v>14</v>
      </c>
      <c r="I66" s="8"/>
      <c r="J66" s="6"/>
      <c r="K66" s="6"/>
    </row>
    <row r="67" spans="1:11" x14ac:dyDescent="0.2">
      <c r="A67" s="8">
        <v>66</v>
      </c>
      <c r="B67" s="8" t="s">
        <v>72</v>
      </c>
      <c r="C67" s="8">
        <v>70.099999999999994</v>
      </c>
      <c r="D67" s="8">
        <v>69.900000000000006</v>
      </c>
      <c r="E67" s="8" t="s">
        <v>27</v>
      </c>
      <c r="F67" s="8">
        <v>107</v>
      </c>
      <c r="G67" s="8">
        <v>138</v>
      </c>
      <c r="H67" s="8" t="s">
        <v>14</v>
      </c>
      <c r="I67" s="8"/>
      <c r="J67" s="6"/>
      <c r="K67" s="6"/>
    </row>
    <row r="68" spans="1:11" x14ac:dyDescent="0.2">
      <c r="A68" s="8">
        <v>67</v>
      </c>
      <c r="B68" s="8" t="s">
        <v>24</v>
      </c>
      <c r="C68" s="8">
        <v>75.3</v>
      </c>
      <c r="D68" s="8">
        <v>82.7</v>
      </c>
      <c r="E68" s="8" t="s">
        <v>27</v>
      </c>
      <c r="F68" s="8">
        <v>239</v>
      </c>
      <c r="G68" s="8">
        <v>302</v>
      </c>
      <c r="H68" s="8" t="s">
        <v>13</v>
      </c>
      <c r="I68" s="12">
        <v>80000</v>
      </c>
      <c r="J68" s="6"/>
      <c r="K68" s="6"/>
    </row>
    <row r="69" spans="1:11" x14ac:dyDescent="0.2">
      <c r="A69" s="8">
        <v>68</v>
      </c>
      <c r="B69" s="8" t="s">
        <v>73</v>
      </c>
      <c r="C69" s="8">
        <v>68.7</v>
      </c>
      <c r="D69" s="8">
        <v>74</v>
      </c>
      <c r="E69" s="8" t="s">
        <v>25</v>
      </c>
      <c r="F69" s="8">
        <v>287</v>
      </c>
      <c r="G69" s="8">
        <v>311</v>
      </c>
      <c r="H69" s="8" t="s">
        <v>14</v>
      </c>
      <c r="I69" s="8"/>
      <c r="J69" s="6"/>
      <c r="K69" s="6"/>
    </row>
    <row r="70" spans="1:11" x14ac:dyDescent="0.2">
      <c r="A70" s="8">
        <v>69</v>
      </c>
      <c r="B70" s="8" t="s">
        <v>24</v>
      </c>
      <c r="C70" s="8">
        <v>75.7</v>
      </c>
      <c r="D70" s="8">
        <v>84</v>
      </c>
      <c r="E70" s="8" t="s">
        <v>27</v>
      </c>
      <c r="F70" s="8">
        <v>340</v>
      </c>
      <c r="G70" s="8">
        <v>373</v>
      </c>
      <c r="H70" s="8" t="s">
        <v>13</v>
      </c>
      <c r="I70" s="12">
        <v>124500</v>
      </c>
      <c r="J70" s="6"/>
      <c r="K70" s="6"/>
    </row>
    <row r="71" spans="1:11" x14ac:dyDescent="0.2">
      <c r="A71" s="8">
        <v>70</v>
      </c>
      <c r="B71" s="8" t="s">
        <v>73</v>
      </c>
      <c r="C71" s="8">
        <v>68.7</v>
      </c>
      <c r="D71" s="8">
        <v>84.7</v>
      </c>
      <c r="E71" s="8" t="s">
        <v>25</v>
      </c>
      <c r="F71" s="8">
        <v>155</v>
      </c>
      <c r="G71" s="8">
        <v>196</v>
      </c>
      <c r="H71" s="8" t="s">
        <v>14</v>
      </c>
      <c r="I71" s="8"/>
      <c r="J71" s="6"/>
      <c r="K71" s="6"/>
    </row>
    <row r="72" spans="1:11" x14ac:dyDescent="0.2">
      <c r="A72" s="8">
        <v>71</v>
      </c>
      <c r="B72" s="8" t="s">
        <v>72</v>
      </c>
      <c r="C72" s="8">
        <v>70.400000000000006</v>
      </c>
      <c r="D72" s="8">
        <v>78.2</v>
      </c>
      <c r="E72" s="8" t="s">
        <v>27</v>
      </c>
      <c r="F72" s="8">
        <v>263</v>
      </c>
      <c r="G72" s="8">
        <v>306</v>
      </c>
      <c r="H72" s="8" t="s">
        <v>13</v>
      </c>
      <c r="I72" s="12">
        <v>99000</v>
      </c>
      <c r="J72" s="6"/>
      <c r="K72" s="6"/>
    </row>
    <row r="73" spans="1:11" x14ac:dyDescent="0.2">
      <c r="A73" s="8">
        <v>72</v>
      </c>
      <c r="B73" s="8" t="s">
        <v>72</v>
      </c>
      <c r="C73" s="8">
        <v>68.3</v>
      </c>
      <c r="D73" s="8">
        <v>85</v>
      </c>
      <c r="E73" s="8" t="s">
        <v>27</v>
      </c>
      <c r="F73" s="8">
        <v>265</v>
      </c>
      <c r="G73" s="8">
        <v>302</v>
      </c>
      <c r="H73" s="8" t="s">
        <v>14</v>
      </c>
      <c r="I73" s="8"/>
      <c r="J73" s="6"/>
      <c r="K73" s="6"/>
    </row>
    <row r="74" spans="1:11" x14ac:dyDescent="0.2">
      <c r="A74" s="8">
        <v>73</v>
      </c>
      <c r="B74" s="8" t="s">
        <v>24</v>
      </c>
      <c r="C74" s="8">
        <v>71.7</v>
      </c>
      <c r="D74" s="8">
        <v>80.099999999999994</v>
      </c>
      <c r="E74" s="8" t="s">
        <v>25</v>
      </c>
      <c r="F74" s="8">
        <v>249</v>
      </c>
      <c r="G74" s="8">
        <v>278</v>
      </c>
      <c r="H74" s="8" t="s">
        <v>14</v>
      </c>
      <c r="I74" s="8"/>
      <c r="J74" s="6"/>
      <c r="K74" s="6"/>
    </row>
    <row r="75" spans="1:11" x14ac:dyDescent="0.2">
      <c r="A75" s="8">
        <v>74</v>
      </c>
      <c r="B75" s="8" t="s">
        <v>73</v>
      </c>
      <c r="C75" s="8">
        <v>70.900000000000006</v>
      </c>
      <c r="D75" s="8">
        <v>85.3</v>
      </c>
      <c r="E75" s="8" t="s">
        <v>25</v>
      </c>
      <c r="F75" s="8">
        <v>377</v>
      </c>
      <c r="G75" s="8">
        <v>429</v>
      </c>
      <c r="H75" s="8" t="s">
        <v>14</v>
      </c>
      <c r="I75" s="8"/>
      <c r="J75" s="6"/>
      <c r="K75" s="6"/>
    </row>
    <row r="76" spans="1:11" x14ac:dyDescent="0.2">
      <c r="A76" s="8">
        <v>75</v>
      </c>
      <c r="B76" s="8" t="s">
        <v>72</v>
      </c>
      <c r="C76" s="8">
        <v>66.3</v>
      </c>
      <c r="D76" s="8">
        <v>79.7</v>
      </c>
      <c r="E76" s="8" t="s">
        <v>25</v>
      </c>
      <c r="F76" s="8">
        <v>301</v>
      </c>
      <c r="G76" s="8">
        <v>338</v>
      </c>
      <c r="H76" s="8" t="s">
        <v>13</v>
      </c>
      <c r="I76" s="12">
        <v>124000</v>
      </c>
      <c r="J76" s="6"/>
      <c r="K76" s="6"/>
    </row>
    <row r="77" spans="1:11" x14ac:dyDescent="0.2">
      <c r="A77" s="8">
        <v>76</v>
      </c>
      <c r="B77" s="8" t="s">
        <v>24</v>
      </c>
      <c r="C77" s="8">
        <v>65.3</v>
      </c>
      <c r="D77" s="8">
        <v>79.599999999999994</v>
      </c>
      <c r="E77" s="8" t="s">
        <v>25</v>
      </c>
      <c r="F77" s="8">
        <v>242</v>
      </c>
      <c r="G77" s="8">
        <v>261</v>
      </c>
      <c r="H77" s="8" t="s">
        <v>14</v>
      </c>
      <c r="I77" s="8"/>
      <c r="J77" s="6"/>
      <c r="K77" s="6"/>
    </row>
    <row r="78" spans="1:11" x14ac:dyDescent="0.2">
      <c r="A78" s="8">
        <v>77</v>
      </c>
      <c r="B78" s="8" t="s">
        <v>24</v>
      </c>
      <c r="C78" s="8">
        <v>75.7</v>
      </c>
      <c r="D78" s="8">
        <v>78.900000000000006</v>
      </c>
      <c r="E78" s="8" t="s">
        <v>25</v>
      </c>
      <c r="F78" s="8">
        <v>211</v>
      </c>
      <c r="G78" s="8">
        <v>256</v>
      </c>
      <c r="H78" s="8" t="s">
        <v>14</v>
      </c>
      <c r="I78" s="8"/>
      <c r="J78" s="6"/>
      <c r="K78" s="6"/>
    </row>
    <row r="79" spans="1:11" x14ac:dyDescent="0.2">
      <c r="A79" s="8">
        <v>78</v>
      </c>
      <c r="B79" s="8" t="s">
        <v>74</v>
      </c>
      <c r="C79" s="8">
        <v>66</v>
      </c>
      <c r="D79" s="8">
        <v>78.5</v>
      </c>
      <c r="E79" s="8" t="s">
        <v>25</v>
      </c>
      <c r="F79" s="8">
        <v>160</v>
      </c>
      <c r="G79" s="8">
        <v>183</v>
      </c>
      <c r="H79" s="8" t="s">
        <v>13</v>
      </c>
      <c r="I79" s="12">
        <v>91500</v>
      </c>
      <c r="J79" s="6"/>
      <c r="K79" s="6"/>
    </row>
    <row r="80" spans="1:11" x14ac:dyDescent="0.2">
      <c r="A80" s="8">
        <v>79</v>
      </c>
      <c r="B80" s="8" t="s">
        <v>24</v>
      </c>
      <c r="C80" s="8">
        <v>78.900000000000006</v>
      </c>
      <c r="D80" s="8">
        <v>72</v>
      </c>
      <c r="E80" s="8" t="s">
        <v>25</v>
      </c>
      <c r="F80" s="8">
        <v>218</v>
      </c>
      <c r="G80" s="8">
        <v>274</v>
      </c>
      <c r="H80" s="8" t="s">
        <v>13</v>
      </c>
      <c r="I80" s="12">
        <v>144500</v>
      </c>
      <c r="J80" s="6"/>
      <c r="K80" s="6"/>
    </row>
    <row r="81" spans="1:11" x14ac:dyDescent="0.2">
      <c r="A81" s="8">
        <v>80</v>
      </c>
      <c r="B81" s="8" t="s">
        <v>24</v>
      </c>
      <c r="C81" s="8">
        <v>74</v>
      </c>
      <c r="D81" s="8">
        <v>74.2</v>
      </c>
      <c r="E81" s="8" t="s">
        <v>25</v>
      </c>
      <c r="F81" s="8">
        <v>133</v>
      </c>
      <c r="G81" s="8">
        <v>182</v>
      </c>
      <c r="H81" s="8" t="s">
        <v>14</v>
      </c>
      <c r="I81" s="8"/>
      <c r="J81" s="6"/>
      <c r="K81" s="6"/>
    </row>
    <row r="82" spans="1:11" x14ac:dyDescent="0.2">
      <c r="A82" s="8">
        <v>81</v>
      </c>
      <c r="B82" s="8" t="s">
        <v>24</v>
      </c>
      <c r="C82" s="8">
        <v>74.599999999999994</v>
      </c>
      <c r="D82" s="8">
        <v>71.7</v>
      </c>
      <c r="E82" s="8" t="s">
        <v>25</v>
      </c>
      <c r="F82" s="8">
        <v>122</v>
      </c>
      <c r="G82" s="8">
        <v>183</v>
      </c>
      <c r="H82" s="8" t="s">
        <v>14</v>
      </c>
      <c r="I82" s="8"/>
      <c r="J82" s="6"/>
      <c r="K82" s="6"/>
    </row>
    <row r="83" spans="1:11" x14ac:dyDescent="0.2">
      <c r="A83" s="8">
        <v>82</v>
      </c>
      <c r="B83" s="8" t="s">
        <v>72</v>
      </c>
      <c r="C83" s="8">
        <v>79.3</v>
      </c>
      <c r="D83" s="8">
        <v>80.7</v>
      </c>
      <c r="E83" s="8" t="s">
        <v>25</v>
      </c>
      <c r="F83" s="8">
        <v>236</v>
      </c>
      <c r="G83" s="8">
        <v>309</v>
      </c>
      <c r="H83" s="8" t="s">
        <v>13</v>
      </c>
      <c r="I83" s="12">
        <v>114500</v>
      </c>
      <c r="J83" s="6"/>
      <c r="K83" s="6"/>
    </row>
    <row r="84" spans="1:11" x14ac:dyDescent="0.2">
      <c r="A84" s="8">
        <v>83</v>
      </c>
      <c r="B84" s="8" t="s">
        <v>72</v>
      </c>
      <c r="C84" s="8">
        <v>70.099999999999994</v>
      </c>
      <c r="D84" s="8">
        <v>84.1</v>
      </c>
      <c r="E84" s="8" t="s">
        <v>25</v>
      </c>
      <c r="F84" s="8">
        <v>143</v>
      </c>
      <c r="G84" s="8">
        <v>178</v>
      </c>
      <c r="H84" s="8" t="s">
        <v>14</v>
      </c>
      <c r="I84" s="8"/>
      <c r="J84" s="6"/>
      <c r="K84" s="6"/>
    </row>
    <row r="85" spans="1:11" x14ac:dyDescent="0.2">
      <c r="A85" s="8">
        <v>84</v>
      </c>
      <c r="B85" s="8" t="s">
        <v>24</v>
      </c>
      <c r="C85" s="8">
        <v>88.8</v>
      </c>
      <c r="D85" s="8">
        <v>87.4</v>
      </c>
      <c r="E85" s="8" t="s">
        <v>25</v>
      </c>
      <c r="F85" s="8">
        <v>354</v>
      </c>
      <c r="G85" s="8">
        <v>458</v>
      </c>
      <c r="H85" s="8" t="s">
        <v>13</v>
      </c>
      <c r="I85" s="12">
        <v>104500</v>
      </c>
      <c r="J85" s="6"/>
      <c r="K85" s="6"/>
    </row>
    <row r="86" spans="1:11" x14ac:dyDescent="0.2">
      <c r="A86" s="8">
        <v>85</v>
      </c>
      <c r="B86" s="8" t="s">
        <v>24</v>
      </c>
      <c r="C86" s="8">
        <v>66</v>
      </c>
      <c r="D86" s="8">
        <v>77.400000000000006</v>
      </c>
      <c r="E86" s="8" t="s">
        <v>27</v>
      </c>
      <c r="F86" s="8">
        <v>214</v>
      </c>
      <c r="G86" s="8">
        <v>234</v>
      </c>
      <c r="H86" s="8" t="s">
        <v>13</v>
      </c>
      <c r="I86" s="12">
        <v>124000</v>
      </c>
      <c r="J86" s="6"/>
      <c r="K86" s="6"/>
    </row>
    <row r="87" spans="1:11" x14ac:dyDescent="0.2">
      <c r="A87" s="8">
        <v>86</v>
      </c>
      <c r="B87" s="8" t="s">
        <v>75</v>
      </c>
      <c r="C87" s="8">
        <v>82.9</v>
      </c>
      <c r="D87" s="8">
        <v>84.7</v>
      </c>
      <c r="E87" s="8" t="s">
        <v>27</v>
      </c>
      <c r="F87" s="8">
        <v>225</v>
      </c>
      <c r="G87" s="8">
        <v>306</v>
      </c>
      <c r="H87" s="8" t="s">
        <v>13</v>
      </c>
      <c r="I87" s="12">
        <v>113000</v>
      </c>
      <c r="J87" s="6"/>
      <c r="K87" s="6"/>
    </row>
    <row r="88" spans="1:11" x14ac:dyDescent="0.2">
      <c r="A88" s="8">
        <v>87</v>
      </c>
      <c r="B88" s="8" t="s">
        <v>24</v>
      </c>
      <c r="C88" s="8">
        <v>100</v>
      </c>
      <c r="D88" s="8">
        <v>78.8</v>
      </c>
      <c r="E88" s="8" t="s">
        <v>25</v>
      </c>
      <c r="F88" s="8">
        <v>261</v>
      </c>
      <c r="G88" s="8">
        <v>400</v>
      </c>
      <c r="H88" s="8" t="s">
        <v>13</v>
      </c>
      <c r="I88" s="12">
        <v>78000</v>
      </c>
      <c r="J88" s="6"/>
      <c r="K88" s="6"/>
    </row>
    <row r="89" spans="1:11" x14ac:dyDescent="0.2">
      <c r="A89" s="8">
        <v>88</v>
      </c>
      <c r="B89" s="8" t="s">
        <v>24</v>
      </c>
      <c r="C89" s="8">
        <v>75.599999999999994</v>
      </c>
      <c r="D89" s="8">
        <v>92.7</v>
      </c>
      <c r="E89" s="8" t="s">
        <v>25</v>
      </c>
      <c r="F89" s="8">
        <v>277</v>
      </c>
      <c r="G89" s="8">
        <v>337</v>
      </c>
      <c r="H89" s="8" t="s">
        <v>14</v>
      </c>
      <c r="I89" s="8"/>
      <c r="J89" s="6"/>
      <c r="K89" s="6"/>
    </row>
    <row r="90" spans="1:11" x14ac:dyDescent="0.2">
      <c r="A90" s="8">
        <v>89</v>
      </c>
      <c r="B90" s="8" t="s">
        <v>74</v>
      </c>
      <c r="C90" s="8">
        <v>67.5</v>
      </c>
      <c r="D90" s="8">
        <v>88.8</v>
      </c>
      <c r="E90" s="8" t="s">
        <v>25</v>
      </c>
      <c r="F90" s="8">
        <v>282</v>
      </c>
      <c r="G90" s="8">
        <v>325</v>
      </c>
      <c r="H90" s="8" t="s">
        <v>13</v>
      </c>
      <c r="I90" s="12">
        <v>109000</v>
      </c>
      <c r="J90" s="6"/>
      <c r="K90" s="6"/>
    </row>
    <row r="91" spans="1:11" x14ac:dyDescent="0.2">
      <c r="A91" s="8">
        <v>90</v>
      </c>
      <c r="B91" s="8" t="s">
        <v>73</v>
      </c>
      <c r="C91" s="8">
        <v>68.7</v>
      </c>
      <c r="D91" s="8">
        <v>86.6</v>
      </c>
      <c r="E91" s="8" t="s">
        <v>25</v>
      </c>
      <c r="F91" s="8">
        <v>322</v>
      </c>
      <c r="G91" s="8">
        <v>329</v>
      </c>
      <c r="H91" s="8" t="s">
        <v>14</v>
      </c>
      <c r="I91" s="8"/>
      <c r="J91" s="6"/>
      <c r="K91" s="6"/>
    </row>
    <row r="92" spans="1:11" x14ac:dyDescent="0.2">
      <c r="A92" s="8">
        <v>91</v>
      </c>
      <c r="B92" s="8" t="s">
        <v>24</v>
      </c>
      <c r="C92" s="8">
        <v>76</v>
      </c>
      <c r="D92" s="8">
        <v>77.900000000000006</v>
      </c>
      <c r="E92" s="8" t="s">
        <v>25</v>
      </c>
      <c r="F92" s="8">
        <v>326</v>
      </c>
      <c r="G92" s="8">
        <v>369</v>
      </c>
      <c r="H92" s="8" t="s">
        <v>13</v>
      </c>
      <c r="I92" s="12">
        <v>99500</v>
      </c>
      <c r="J92" s="6"/>
      <c r="K92" s="6"/>
    </row>
    <row r="93" spans="1:11" x14ac:dyDescent="0.2">
      <c r="A93" s="8">
        <v>92</v>
      </c>
      <c r="B93" s="8" t="s">
        <v>73</v>
      </c>
      <c r="C93" s="8">
        <v>67.7</v>
      </c>
      <c r="D93" s="8">
        <v>86.1</v>
      </c>
      <c r="E93" s="8" t="s">
        <v>25</v>
      </c>
      <c r="F93" s="8">
        <v>421</v>
      </c>
      <c r="G93" s="8">
        <v>457</v>
      </c>
      <c r="H93" s="8" t="s">
        <v>13</v>
      </c>
      <c r="I93" s="12">
        <v>107000</v>
      </c>
      <c r="J93" s="6"/>
      <c r="K93" s="6"/>
    </row>
    <row r="94" spans="1:11" x14ac:dyDescent="0.2">
      <c r="A94" s="8">
        <v>93</v>
      </c>
      <c r="B94" s="8" t="s">
        <v>72</v>
      </c>
      <c r="C94" s="8">
        <v>75.3</v>
      </c>
      <c r="D94" s="8">
        <v>89.9</v>
      </c>
      <c r="E94" s="8" t="s">
        <v>25</v>
      </c>
      <c r="F94" s="8">
        <v>368</v>
      </c>
      <c r="G94" s="8">
        <v>421</v>
      </c>
      <c r="H94" s="8" t="s">
        <v>14</v>
      </c>
      <c r="I94" s="8"/>
      <c r="J94" s="6"/>
      <c r="K94" s="6"/>
    </row>
    <row r="95" spans="1:11" x14ac:dyDescent="0.2">
      <c r="A95" s="8">
        <v>94</v>
      </c>
      <c r="B95" s="8" t="s">
        <v>72</v>
      </c>
      <c r="C95" s="8">
        <v>68.099999999999994</v>
      </c>
      <c r="D95" s="8">
        <v>83.1</v>
      </c>
      <c r="E95" s="8" t="s">
        <v>25</v>
      </c>
      <c r="F95" s="8">
        <v>279</v>
      </c>
      <c r="G95" s="8">
        <v>282</v>
      </c>
      <c r="H95" s="8" t="s">
        <v>13</v>
      </c>
      <c r="I95" s="12">
        <v>84000</v>
      </c>
      <c r="J95" s="6"/>
      <c r="K95" s="6"/>
    </row>
    <row r="96" spans="1:11" x14ac:dyDescent="0.2">
      <c r="A96" s="8">
        <v>95</v>
      </c>
      <c r="B96" s="8" t="s">
        <v>74</v>
      </c>
      <c r="C96" s="8">
        <v>63.3</v>
      </c>
      <c r="D96" s="8">
        <v>82.6</v>
      </c>
      <c r="E96" s="8" t="s">
        <v>25</v>
      </c>
      <c r="F96" s="8">
        <v>268</v>
      </c>
      <c r="G96" s="8">
        <v>256</v>
      </c>
      <c r="H96" s="8" t="s">
        <v>14</v>
      </c>
      <c r="I96" s="8"/>
      <c r="J96" s="6"/>
      <c r="K96" s="6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DEF65-B149-4CFB-B5D2-BB6B32A5CD91}">
  <sheetPr codeName="Sheet2">
    <tabColor theme="3"/>
  </sheetPr>
  <dimension ref="B1:O16"/>
  <sheetViews>
    <sheetView showGridLines="0" workbookViewId="0">
      <selection activeCell="D37" sqref="D37"/>
    </sheetView>
  </sheetViews>
  <sheetFormatPr baseColWidth="10" defaultColWidth="8.83203125" defaultRowHeight="15" x14ac:dyDescent="0.2"/>
  <cols>
    <col min="1" max="1" width="3" customWidth="1"/>
    <col min="2" max="2" width="38.5" customWidth="1"/>
    <col min="3" max="3" width="12.1640625" customWidth="1"/>
    <col min="4" max="4" width="3" customWidth="1"/>
    <col min="5" max="5" width="41.5" customWidth="1"/>
    <col min="6" max="6" width="12.1640625" customWidth="1"/>
    <col min="7" max="7" width="3" customWidth="1"/>
    <col min="8" max="8" width="55.83203125" bestFit="1" customWidth="1"/>
    <col min="9" max="9" width="12.1640625" customWidth="1"/>
    <col min="10" max="10" width="3" customWidth="1"/>
    <col min="11" max="11" width="52.33203125" bestFit="1" customWidth="1"/>
    <col min="12" max="12" width="12.1640625" customWidth="1"/>
    <col min="13" max="13" width="3" customWidth="1"/>
    <col min="14" max="14" width="44.33203125" customWidth="1"/>
    <col min="15" max="15" width="12.1640625" customWidth="1"/>
  </cols>
  <sheetData>
    <row r="1" spans="2:15" ht="16" thickBot="1" x14ac:dyDescent="0.25"/>
    <row r="2" spans="2:15" ht="30" customHeight="1" thickBot="1" x14ac:dyDescent="0.25">
      <c r="B2" s="110" t="s">
        <v>0</v>
      </c>
      <c r="C2" s="110"/>
      <c r="E2" s="111" t="s">
        <v>19</v>
      </c>
      <c r="F2" s="111"/>
      <c r="H2" s="112" t="s">
        <v>138</v>
      </c>
      <c r="I2" s="112"/>
      <c r="K2" s="113" t="s">
        <v>189</v>
      </c>
      <c r="L2" s="113"/>
      <c r="N2" s="114" t="s">
        <v>219</v>
      </c>
      <c r="O2" s="114"/>
    </row>
    <row r="3" spans="2:15" ht="16" thickBot="1" x14ac:dyDescent="0.25">
      <c r="B3" s="2" t="s">
        <v>1</v>
      </c>
      <c r="C3" s="2" t="s">
        <v>29</v>
      </c>
      <c r="E3" s="2" t="s">
        <v>1</v>
      </c>
      <c r="F3" s="2" t="s">
        <v>29</v>
      </c>
      <c r="H3" s="2" t="s">
        <v>1</v>
      </c>
      <c r="I3" s="2" t="s">
        <v>29</v>
      </c>
      <c r="K3" s="2" t="s">
        <v>1</v>
      </c>
      <c r="L3" s="2" t="s">
        <v>29</v>
      </c>
      <c r="N3" s="2" t="s">
        <v>1</v>
      </c>
      <c r="O3" s="2" t="s">
        <v>29</v>
      </c>
    </row>
    <row r="4" spans="2:15" ht="22.5" customHeight="1" thickBot="1" x14ac:dyDescent="0.25">
      <c r="B4" s="5" t="s">
        <v>2</v>
      </c>
      <c r="C4" s="4" t="s">
        <v>11</v>
      </c>
      <c r="E4" s="23" t="s">
        <v>84</v>
      </c>
      <c r="F4" s="24" t="s">
        <v>11</v>
      </c>
      <c r="H4" s="33" t="s">
        <v>153</v>
      </c>
      <c r="I4" s="34" t="s">
        <v>11</v>
      </c>
      <c r="K4" s="47" t="s">
        <v>191</v>
      </c>
      <c r="L4" s="48" t="s">
        <v>11</v>
      </c>
      <c r="N4" s="54" t="s">
        <v>226</v>
      </c>
      <c r="O4" s="55" t="s">
        <v>11</v>
      </c>
    </row>
    <row r="5" spans="2:15" ht="22.5" customHeight="1" thickBot="1" x14ac:dyDescent="0.25">
      <c r="B5" s="5" t="s">
        <v>3</v>
      </c>
      <c r="C5" s="4" t="s">
        <v>11</v>
      </c>
      <c r="E5" s="23" t="s">
        <v>82</v>
      </c>
      <c r="F5" s="24" t="s">
        <v>11</v>
      </c>
      <c r="H5" s="35" t="s">
        <v>224</v>
      </c>
      <c r="I5" s="32" t="s">
        <v>11</v>
      </c>
      <c r="K5" s="47" t="s">
        <v>192</v>
      </c>
      <c r="L5" s="48" t="s">
        <v>11</v>
      </c>
      <c r="N5" s="54" t="s">
        <v>227</v>
      </c>
      <c r="O5" s="55" t="s">
        <v>11</v>
      </c>
    </row>
    <row r="6" spans="2:15" ht="22.5" customHeight="1" thickBot="1" x14ac:dyDescent="0.25">
      <c r="B6" s="5" t="s">
        <v>4</v>
      </c>
      <c r="C6" s="4" t="s">
        <v>11</v>
      </c>
      <c r="E6" s="23" t="s">
        <v>83</v>
      </c>
      <c r="F6" s="24" t="s">
        <v>11</v>
      </c>
      <c r="H6" s="33" t="s">
        <v>155</v>
      </c>
      <c r="I6" s="34" t="s">
        <v>11</v>
      </c>
      <c r="K6" s="47" t="s">
        <v>193</v>
      </c>
      <c r="L6" s="48" t="s">
        <v>11</v>
      </c>
      <c r="N6" s="56" t="s">
        <v>228</v>
      </c>
      <c r="O6" s="57" t="s">
        <v>11</v>
      </c>
    </row>
    <row r="7" spans="2:15" ht="22.5" customHeight="1" thickBot="1" x14ac:dyDescent="0.25">
      <c r="B7" s="15" t="s">
        <v>28</v>
      </c>
      <c r="C7" s="16" t="s">
        <v>11</v>
      </c>
      <c r="E7" s="25" t="s">
        <v>97</v>
      </c>
      <c r="F7" s="26" t="s">
        <v>11</v>
      </c>
      <c r="H7" s="35" t="s">
        <v>154</v>
      </c>
      <c r="I7" s="32" t="s">
        <v>11</v>
      </c>
      <c r="K7" s="47" t="s">
        <v>194</v>
      </c>
      <c r="L7" s="48" t="s">
        <v>11</v>
      </c>
      <c r="N7" s="54" t="s">
        <v>237</v>
      </c>
      <c r="O7" s="55" t="s">
        <v>11</v>
      </c>
    </row>
    <row r="8" spans="2:15" ht="22.5" customHeight="1" thickBot="1" x14ac:dyDescent="0.25">
      <c r="B8" s="5" t="s">
        <v>5</v>
      </c>
      <c r="C8" s="4" t="s">
        <v>11</v>
      </c>
      <c r="E8" s="23" t="s">
        <v>102</v>
      </c>
      <c r="F8" s="24" t="s">
        <v>11</v>
      </c>
      <c r="H8" s="33" t="s">
        <v>157</v>
      </c>
      <c r="I8" s="34" t="s">
        <v>11</v>
      </c>
      <c r="K8" s="47" t="s">
        <v>309</v>
      </c>
      <c r="L8" s="48" t="s">
        <v>11</v>
      </c>
      <c r="N8" s="54" t="s">
        <v>238</v>
      </c>
      <c r="O8" s="55" t="s">
        <v>11</v>
      </c>
    </row>
    <row r="9" spans="2:15" ht="22.5" customHeight="1" thickBot="1" x14ac:dyDescent="0.25">
      <c r="B9" s="5" t="s">
        <v>6</v>
      </c>
      <c r="C9" s="4" t="s">
        <v>11</v>
      </c>
      <c r="E9" s="23" t="s">
        <v>106</v>
      </c>
      <c r="F9" s="24" t="s">
        <v>11</v>
      </c>
      <c r="H9" s="35" t="s">
        <v>190</v>
      </c>
      <c r="I9" s="32" t="s">
        <v>11</v>
      </c>
      <c r="K9" s="45" t="s">
        <v>223</v>
      </c>
      <c r="L9" s="46" t="s">
        <v>11</v>
      </c>
      <c r="N9" s="56" t="s">
        <v>256</v>
      </c>
      <c r="O9" s="57" t="s">
        <v>11</v>
      </c>
    </row>
    <row r="10" spans="2:15" ht="22.5" customHeight="1" thickBot="1" x14ac:dyDescent="0.25">
      <c r="B10" s="15" t="s">
        <v>30</v>
      </c>
      <c r="C10" s="16" t="s">
        <v>11</v>
      </c>
      <c r="E10" s="25" t="s">
        <v>101</v>
      </c>
      <c r="F10" s="26" t="s">
        <v>11</v>
      </c>
      <c r="H10" s="33" t="s">
        <v>166</v>
      </c>
      <c r="I10" s="34" t="s">
        <v>11</v>
      </c>
      <c r="K10" s="49" t="s">
        <v>208</v>
      </c>
      <c r="L10" s="48" t="s">
        <v>11</v>
      </c>
      <c r="N10" s="54" t="s">
        <v>257</v>
      </c>
      <c r="O10" s="55" t="s">
        <v>11</v>
      </c>
    </row>
    <row r="11" spans="2:15" ht="22.5" customHeight="1" thickBot="1" x14ac:dyDescent="0.25">
      <c r="B11" s="5" t="s">
        <v>7</v>
      </c>
      <c r="C11" s="4" t="s">
        <v>11</v>
      </c>
      <c r="E11" s="23" t="s">
        <v>98</v>
      </c>
      <c r="F11" s="24" t="s">
        <v>11</v>
      </c>
      <c r="H11" s="35" t="s">
        <v>167</v>
      </c>
      <c r="I11" s="32" t="s">
        <v>11</v>
      </c>
      <c r="K11" s="45" t="s">
        <v>222</v>
      </c>
      <c r="L11" s="46" t="s">
        <v>11</v>
      </c>
      <c r="N11" s="54" t="s">
        <v>258</v>
      </c>
      <c r="O11" s="55" t="s">
        <v>11</v>
      </c>
    </row>
    <row r="12" spans="2:15" ht="22.5" customHeight="1" thickBot="1" x14ac:dyDescent="0.25">
      <c r="B12" s="5" t="s">
        <v>8</v>
      </c>
      <c r="C12" s="4" t="s">
        <v>11</v>
      </c>
      <c r="E12" s="23" t="s">
        <v>109</v>
      </c>
      <c r="F12" s="24" t="s">
        <v>11</v>
      </c>
      <c r="H12" s="33" t="s">
        <v>168</v>
      </c>
      <c r="I12" s="34" t="s">
        <v>11</v>
      </c>
      <c r="K12" s="45" t="s">
        <v>220</v>
      </c>
      <c r="L12" s="46" t="s">
        <v>11</v>
      </c>
      <c r="N12" s="54" t="s">
        <v>259</v>
      </c>
      <c r="O12" s="55" t="s">
        <v>11</v>
      </c>
    </row>
    <row r="13" spans="2:15" ht="22.5" customHeight="1" thickBot="1" x14ac:dyDescent="0.25">
      <c r="B13" s="5" t="s">
        <v>9</v>
      </c>
      <c r="C13" s="4" t="s">
        <v>11</v>
      </c>
      <c r="E13" s="23" t="s">
        <v>110</v>
      </c>
      <c r="F13" s="24" t="s">
        <v>11</v>
      </c>
      <c r="H13" s="35" t="s">
        <v>169</v>
      </c>
      <c r="I13" s="32" t="s">
        <v>11</v>
      </c>
      <c r="K13" s="45" t="s">
        <v>221</v>
      </c>
      <c r="L13" s="46" t="s">
        <v>11</v>
      </c>
      <c r="N13" s="54" t="s">
        <v>260</v>
      </c>
      <c r="O13" s="55" t="s">
        <v>11</v>
      </c>
    </row>
    <row r="14" spans="2:15" ht="22.5" customHeight="1" thickBot="1" x14ac:dyDescent="0.25">
      <c r="B14" s="5" t="s">
        <v>10</v>
      </c>
      <c r="C14" s="4" t="s">
        <v>11</v>
      </c>
      <c r="E14" s="25" t="s">
        <v>117</v>
      </c>
      <c r="F14" s="26" t="s">
        <v>11</v>
      </c>
      <c r="H14" s="33" t="s">
        <v>185</v>
      </c>
      <c r="I14" s="34" t="s">
        <v>11</v>
      </c>
      <c r="N14" s="56" t="s">
        <v>261</v>
      </c>
      <c r="O14" s="57" t="s">
        <v>11</v>
      </c>
    </row>
    <row r="15" spans="2:15" ht="22.5" customHeight="1" thickBot="1" x14ac:dyDescent="0.25">
      <c r="B15" s="5" t="s">
        <v>81</v>
      </c>
      <c r="C15" s="4" t="s">
        <v>11</v>
      </c>
      <c r="N15" s="54" t="s">
        <v>262</v>
      </c>
      <c r="O15" s="55" t="s">
        <v>11</v>
      </c>
    </row>
    <row r="16" spans="2:15" ht="22.5" customHeight="1" thickBot="1" x14ac:dyDescent="0.25">
      <c r="B16" s="15" t="s">
        <v>31</v>
      </c>
      <c r="C16" s="16" t="s">
        <v>11</v>
      </c>
      <c r="N16" s="54" t="s">
        <v>267</v>
      </c>
      <c r="O16" s="55" t="s">
        <v>11</v>
      </c>
    </row>
  </sheetData>
  <mergeCells count="5">
    <mergeCell ref="B2:C2"/>
    <mergeCell ref="E2:F2"/>
    <mergeCell ref="H2:I2"/>
    <mergeCell ref="K2:L2"/>
    <mergeCell ref="N2:O2"/>
  </mergeCells>
  <hyperlinks>
    <hyperlink ref="C4" location="'Categorical Distributions'!A1" display="LINK" xr:uid="{641D325D-9720-4898-9F56-CA3146675E89}"/>
    <hyperlink ref="C5" location="'Numerical Distributions'!A1" display="LINK" xr:uid="{A9169A3C-3F02-4255-9C1D-D176BA62EED5}"/>
    <hyperlink ref="C6" location="Histograms!A1" display="LINK" xr:uid="{A5431B60-2965-4F5B-B9D6-530F36AE1F6B}"/>
    <hyperlink ref="C7" location="'Frequency Distributions'!A1" display="LINK" xr:uid="{A6D2C845-F4F6-42FC-839E-01AB9B87F7EA}"/>
    <hyperlink ref="C8" location="'Mean, Median, Mode'!A1" display="LINK" xr:uid="{ABA0C063-C141-41EC-B9E9-0993AF9F15B4}"/>
    <hyperlink ref="C9" location="Skew!A1" display="LINK" xr:uid="{2B109DA9-BC59-4DE7-BCD0-CEA6602E72BB}"/>
    <hyperlink ref="C10" location="'Central Tendency'!A1" display="LINK" xr:uid="{DA7158E8-01E2-4F6B-A49C-3A7C922B22D8}"/>
    <hyperlink ref="C11" location="'Min, Max, Range'!A1" display="LINK" xr:uid="{ED67B226-868D-4985-952E-4F7A7BE61DCB}"/>
    <hyperlink ref="C12" location="'Quartiles &amp; IQR'!A1" display="LINK" xr:uid="{B9B182A9-C652-40DF-931C-36F3F1ACE8F9}"/>
    <hyperlink ref="C13" location="'Box &amp; Whisker'!A1" display="LINK" xr:uid="{B439E3C7-2D18-4422-847A-09FDFEF6E8EF}"/>
    <hyperlink ref="C14" location="'Variance &amp; Std Dev'!A1" display="LINK" xr:uid="{6434B156-173F-487F-934D-F2732DA2593A}"/>
    <hyperlink ref="C16" location="Variability!A1" display="LINK" xr:uid="{DB0A220C-09DF-4173-873B-75A59A204290}"/>
    <hyperlink ref="C15" location="'Coefficient of Variation'!A1" display="LINK" xr:uid="{094D10CA-DB5F-4515-A510-AC1B7EA6956A}"/>
    <hyperlink ref="F4" location="'Normal Distribution'!A1" display="LINK" xr:uid="{F9881F64-C4DF-4932-A909-4334AE807CD2}"/>
    <hyperlink ref="F5" location="'Z-Scores'!A1" display="LINK" xr:uid="{9CB111AC-C8C1-4E49-A9BD-9DD9BD802751}"/>
    <hyperlink ref="F6" location="'Empirical Rule'!A1" display="LINK" xr:uid="{5D9C1156-0A78-4EC7-8D1C-BC70153E43C0}"/>
    <hyperlink ref="F7" location="'Normal Distributions'!A1" display="LINK" xr:uid="{97EB438B-3A69-4AFE-B52A-A9B78FA2DB7A}"/>
    <hyperlink ref="F8" location="NORM.DIST!A1" display="LINK" xr:uid="{22E6C81D-F95C-4472-A850-FB11733DA877}"/>
    <hyperlink ref="F10" location="'Calculating Probabilities'!A1" display="LINK" xr:uid="{EE5D61BA-8B11-4B76-8B71-2A1907B3D75F}"/>
    <hyperlink ref="F9" location="NORM.S.DIST!A1" display="LINK" xr:uid="{624C7234-9EA7-4283-BCB7-85411EF590F6}"/>
    <hyperlink ref="F11" location="'Normal Curve'!A1" display="LINK" xr:uid="{73EA59C9-60EC-4325-A818-386288E0989A}"/>
    <hyperlink ref="F12" location="NORM.INV!A1" display="LINK" xr:uid="{0BE5F9CE-F7BB-4775-858A-7D0758A523B4}"/>
    <hyperlink ref="F13" location="NORM.S.INV!A1" display="LINK" xr:uid="{A4588EAC-7648-44CF-B7A5-C7CE32A643AB}"/>
    <hyperlink ref="F14" location="'Estimating Values'!A1" display="LINK" xr:uid="{102DD4D1-6581-4FFA-9F0B-AEB94BBEFC7B}"/>
    <hyperlink ref="I4" location="'Margin of Error'!A1" display="LINK" xr:uid="{1421087F-59A8-4299-B3EB-98CE864B015D}"/>
    <hyperlink ref="I5" location="'Confidence Intervals (z)'!A1" display="LINK" xr:uid="{18513267-59E9-436E-B296-7EF3ECF8204D}"/>
    <hyperlink ref="I6" location="'T Distribution'!A1" display="LINK" xr:uid="{ACF6FF79-0468-46C4-9784-5EEEF1ADA5C4}"/>
    <hyperlink ref="I7" location="'Confidence Intervals (t)'!A1" display="LINK" xr:uid="{53CDD1B2-F9B9-48B4-B677-C29EC0C60C62}"/>
    <hyperlink ref="I8" location="Proportions!A1" display="LINK" xr:uid="{6507B6F6-C3E2-4704-8A76-66208FDBC843}"/>
    <hyperlink ref="I9" location="'Confidence Intervals (p)'!A1" display="LINK" xr:uid="{6D70E516-A0A3-493A-96AD-732F528F9EA4}"/>
    <hyperlink ref="I10" location="'Dependent Samples'!A1" display="LINK" xr:uid="{8E20F2FE-2C50-438E-9DF2-C520C458C013}"/>
    <hyperlink ref="I11" location="'Confidence Intervals (d)'!A1" display="LINK" xr:uid="{CFDE4DBA-9DD5-44BE-824B-04E1E02502C2}"/>
    <hyperlink ref="I12" location="'Independent Samples'!A1" display="LINK" xr:uid="{3F398CA1-ED24-4632-96BB-57E7D9027AF2}"/>
    <hyperlink ref="I13" location="'Confidence Intervals (x1-x2)'!A1" display="LINK" xr:uid="{117A8434-E5EF-43D8-8FE6-101CC1CD9A6E}"/>
    <hyperlink ref="I14" location="'Confidence Intervals (p1-p2)'!A1" display="LINK" xr:uid="{B7A2CE7D-CB2A-487F-B906-3180FF6699C8}"/>
    <hyperlink ref="L4" location="'Null &amp; Alternative Hypothesis'!A1" display="LINK" xr:uid="{593A1C35-FDBE-4C76-A462-047A29B0CEA7}"/>
    <hyperlink ref="L9" location="'Hypothesis Tests (Two Tail)'!A1" display="LINK" xr:uid="{B5CFD56B-D362-4BDA-A9C4-306FFCDD47B3}"/>
    <hyperlink ref="L5" location="'Significance Level'!A1" display="LINK" xr:uid="{5D7F304D-F98E-4020-99A2-67711B45ED96}"/>
    <hyperlink ref="L6" location="'Test Statistic'!A1" display="LINK" xr:uid="{F842D01C-685F-4D19-84C0-75E3639187D0}"/>
    <hyperlink ref="L7" location="'P-Value'!A1" display="LINK" xr:uid="{E46AA12A-EA75-468B-84DB-E674988C3C53}"/>
    <hyperlink ref="L10" location="'One Tail Hypothesis Test'!A1" display="LINK" xr:uid="{B2EC79D1-49CA-4DC6-82E5-80EDAD380411}"/>
    <hyperlink ref="L11" location="'Hypothesis Tests (p)'!A1" display="LINK" xr:uid="{53A5A0B0-56A5-4E1A-849D-8CB1BF46A562}"/>
    <hyperlink ref="L12" location="'Hypothesis Tests (d)'!A1" display="LINK" xr:uid="{90B54B45-1FCB-4096-B18D-2709AEB35F3E}"/>
    <hyperlink ref="L13" location="'Hypothesis Tests (x1-x2)'!A1" display="LINK" xr:uid="{36AD47B7-F7DB-4B77-8F58-7345935CBB9E}"/>
    <hyperlink ref="O4" location="Scatterplots!A1" display="LINK" xr:uid="{1C6A581A-65DF-4A80-A68C-3AB6ADDCB500}"/>
    <hyperlink ref="O5" location="Correlation!A1" display="LINK" xr:uid="{89647492-B35F-4492-A40A-1B242E0602C4}"/>
    <hyperlink ref="O6" location="'Linear Relationships'!A1" display="LINK" xr:uid="{4CF4109D-ECC3-44AA-AC58-2B6B804C79D3}"/>
    <hyperlink ref="O7" location="'Linear Regression'!A1" display="LINK" xr:uid="{0BF167A4-5E7C-4FFC-A362-E589C04DD85E}"/>
    <hyperlink ref="O8" location="Predictions!A1" display="LINK" xr:uid="{D880FF79-F814-4FF7-8BCB-BA0F6EA0A013}"/>
    <hyperlink ref="O9" location="'Linear Regression Model'!A1" display="LINK" xr:uid="{9E701891-E56C-4F35-AC87-4701DCBB6BC1}"/>
    <hyperlink ref="O14" location="'Model Evaluation'!A1" display="LINK" xr:uid="{1F52EDFD-F382-4880-9EDD-07824DB95EB4}"/>
    <hyperlink ref="O10:O13" location="'Confidence Intervals'!A1" display="LINK" xr:uid="{3DC76542-6EE8-4580-9DF2-93559BC179E0}"/>
    <hyperlink ref="O15" location="'Analysis ToolPak'!A1" display="LINK" xr:uid="{EDEE6AB9-2F8F-41C0-9F65-E8A5EFA911A9}"/>
    <hyperlink ref="O16" location="'Multiple Linear Regression'!A1" display="LINK" xr:uid="{E071E44F-D041-49BD-BEB5-4108D13CCDA8}"/>
    <hyperlink ref="O10" location="'R-Squared'!A1" display="LINK" xr:uid="{03A51012-B7E3-4E14-9D12-17E4E0132211}"/>
    <hyperlink ref="O11" location="'Standard Error'!A1" display="LINK" xr:uid="{B70293C4-C711-4838-B535-2FC470A31B6B}"/>
    <hyperlink ref="O12" location="Homoskedasticity!A1" display="LINK" xr:uid="{7B5F3B60-60B2-49ED-BAD9-845C08BE3974}"/>
    <hyperlink ref="O13" location="'Hypothesis Test'!A1" display="LINK" xr:uid="{4E1F38EB-5445-4B0C-A10C-7CCDA7F3B139}"/>
    <hyperlink ref="L8" location="Conclusion!A1" display="LINK" xr:uid="{96BDB7AB-D34E-4C8D-BBB2-1C425428A6BA}"/>
  </hyperlink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1BCE1-9E8E-4060-984F-0E50E40E0369}">
  <sheetPr codeName="Sheet3">
    <tabColor theme="4" tint="0.79998168889431442"/>
  </sheetPr>
  <dimension ref="B1:N100"/>
  <sheetViews>
    <sheetView showGridLines="0" workbookViewId="0">
      <selection activeCell="N6" sqref="N6"/>
    </sheetView>
  </sheetViews>
  <sheetFormatPr baseColWidth="10" defaultColWidth="8.83203125" defaultRowHeight="15" x14ac:dyDescent="0.2"/>
  <cols>
    <col min="1" max="1" width="2.83203125" customWidth="1"/>
    <col min="2" max="2" width="11.6640625" customWidth="1"/>
    <col min="3" max="3" width="9.1640625" customWidth="1"/>
    <col min="4" max="4" width="10" bestFit="1" customWidth="1"/>
    <col min="5" max="5" width="9.33203125" bestFit="1" customWidth="1"/>
    <col min="6" max="6" width="16" bestFit="1" customWidth="1"/>
    <col min="8" max="8" width="11.33203125" bestFit="1" customWidth="1"/>
    <col min="9" max="9" width="10.33203125" bestFit="1" customWidth="1"/>
    <col min="10" max="10" width="18.33203125" bestFit="1" customWidth="1"/>
    <col min="12" max="12" width="11.33203125" bestFit="1" customWidth="1"/>
    <col min="13" max="13" width="10.33203125" bestFit="1" customWidth="1"/>
    <col min="14" max="14" width="18.33203125" bestFit="1" customWidth="1"/>
  </cols>
  <sheetData>
    <row r="1" spans="2:14" ht="25.5" customHeight="1" x14ac:dyDescent="0.25">
      <c r="B1" s="18" t="s">
        <v>268</v>
      </c>
    </row>
    <row r="2" spans="2:14" ht="16" x14ac:dyDescent="0.2">
      <c r="B2" s="30" t="s">
        <v>2</v>
      </c>
    </row>
    <row r="3" spans="2:14" ht="18" customHeight="1" x14ac:dyDescent="0.2"/>
    <row r="4" spans="2:14" x14ac:dyDescent="0.2">
      <c r="D4" s="3" t="s">
        <v>52</v>
      </c>
      <c r="H4" s="3" t="s">
        <v>54</v>
      </c>
      <c r="L4" s="3" t="s">
        <v>53</v>
      </c>
    </row>
    <row r="5" spans="2:14" x14ac:dyDescent="0.2">
      <c r="B5" s="7" t="s">
        <v>12</v>
      </c>
      <c r="D5" s="9" t="s">
        <v>12</v>
      </c>
      <c r="E5" t="s">
        <v>15</v>
      </c>
      <c r="F5" t="s">
        <v>16</v>
      </c>
      <c r="H5" s="60" t="s">
        <v>12</v>
      </c>
      <c r="I5" s="61" t="s">
        <v>15</v>
      </c>
      <c r="J5" s="62" t="s">
        <v>16</v>
      </c>
      <c r="L5" s="63" t="s">
        <v>12</v>
      </c>
      <c r="M5" s="64" t="s">
        <v>15</v>
      </c>
      <c r="N5" s="65" t="s">
        <v>16</v>
      </c>
    </row>
    <row r="6" spans="2:14" x14ac:dyDescent="0.2">
      <c r="B6" s="8" t="s">
        <v>13</v>
      </c>
      <c r="D6" s="101" t="s">
        <v>14</v>
      </c>
      <c r="E6">
        <v>42</v>
      </c>
      <c r="F6" s="102">
        <v>0.44210526315789472</v>
      </c>
      <c r="H6" s="8" t="s">
        <v>14</v>
      </c>
      <c r="I6" s="8">
        <f>COUNTIFS($B$6:$B$100,H6)</f>
        <v>42</v>
      </c>
      <c r="J6" s="59">
        <f>I6/SUM($I$6:$I$7)</f>
        <v>0.44210526315789472</v>
      </c>
      <c r="L6" s="8" t="str" cm="1">
        <f t="array" ref="L6:L7">_xlfn._xlws.SORT(_xlfn.UNIQUE(B6:B100))</f>
        <v>Not Placed</v>
      </c>
      <c r="M6" s="8" cm="1">
        <f t="array" ref="M6:M7">COUNTIFS(B6:B100,_xlfn.ANCHORARRAY(L6))</f>
        <v>42</v>
      </c>
      <c r="N6" s="59" cm="1">
        <f t="array" ref="N6:N7">_xlfn.ANCHORARRAY(M6)/SUM(_xlfn.ANCHORARRAY(M6))</f>
        <v>0.44210526315789472</v>
      </c>
    </row>
    <row r="7" spans="2:14" x14ac:dyDescent="0.2">
      <c r="B7" s="8" t="s">
        <v>14</v>
      </c>
      <c r="D7" s="101" t="s">
        <v>13</v>
      </c>
      <c r="E7">
        <v>53</v>
      </c>
      <c r="F7" s="102">
        <v>0.55789473684210522</v>
      </c>
      <c r="H7" s="8" t="s">
        <v>13</v>
      </c>
      <c r="I7" s="8">
        <f>COUNTIFS($B$6:$B$100,H7)</f>
        <v>53</v>
      </c>
      <c r="J7" s="59">
        <f>I7/SUM($I$6:$I$7)</f>
        <v>0.55789473684210522</v>
      </c>
      <c r="L7" s="8" t="str">
        <v>Placed</v>
      </c>
      <c r="M7" s="8">
        <v>53</v>
      </c>
      <c r="N7" s="59">
        <v>0.55789473684210522</v>
      </c>
    </row>
    <row r="8" spans="2:14" x14ac:dyDescent="0.2">
      <c r="B8" s="8" t="s">
        <v>13</v>
      </c>
      <c r="D8" s="101" t="s">
        <v>17</v>
      </c>
      <c r="E8">
        <v>95</v>
      </c>
      <c r="F8" s="102">
        <v>1</v>
      </c>
    </row>
    <row r="9" spans="2:14" x14ac:dyDescent="0.2">
      <c r="B9" s="8" t="s">
        <v>14</v>
      </c>
    </row>
    <row r="10" spans="2:14" x14ac:dyDescent="0.2">
      <c r="B10" s="8" t="s">
        <v>14</v>
      </c>
    </row>
    <row r="11" spans="2:14" x14ac:dyDescent="0.2">
      <c r="B11" s="8" t="s">
        <v>14</v>
      </c>
    </row>
    <row r="12" spans="2:14" x14ac:dyDescent="0.2">
      <c r="B12" s="8" t="s">
        <v>13</v>
      </c>
    </row>
    <row r="13" spans="2:14" x14ac:dyDescent="0.2">
      <c r="B13" s="8" t="s">
        <v>13</v>
      </c>
    </row>
    <row r="14" spans="2:14" x14ac:dyDescent="0.2">
      <c r="B14" s="8" t="s">
        <v>13</v>
      </c>
    </row>
    <row r="15" spans="2:14" x14ac:dyDescent="0.2">
      <c r="B15" s="8" t="s">
        <v>13</v>
      </c>
    </row>
    <row r="16" spans="2:14" x14ac:dyDescent="0.2">
      <c r="B16" s="8" t="s">
        <v>14</v>
      </c>
    </row>
    <row r="17" spans="2:2" x14ac:dyDescent="0.2">
      <c r="B17" s="8" t="s">
        <v>13</v>
      </c>
    </row>
    <row r="18" spans="2:2" x14ac:dyDescent="0.2">
      <c r="B18" s="8" t="s">
        <v>14</v>
      </c>
    </row>
    <row r="19" spans="2:2" x14ac:dyDescent="0.2">
      <c r="B19" s="8" t="s">
        <v>13</v>
      </c>
    </row>
    <row r="20" spans="2:2" x14ac:dyDescent="0.2">
      <c r="B20" s="8" t="s">
        <v>13</v>
      </c>
    </row>
    <row r="21" spans="2:2" x14ac:dyDescent="0.2">
      <c r="B21" s="8" t="s">
        <v>13</v>
      </c>
    </row>
    <row r="22" spans="2:2" x14ac:dyDescent="0.2">
      <c r="B22" s="8" t="s">
        <v>14</v>
      </c>
    </row>
    <row r="23" spans="2:2" x14ac:dyDescent="0.2">
      <c r="B23" s="8" t="s">
        <v>13</v>
      </c>
    </row>
    <row r="24" spans="2:2" x14ac:dyDescent="0.2">
      <c r="B24" s="8" t="s">
        <v>14</v>
      </c>
    </row>
    <row r="25" spans="2:2" x14ac:dyDescent="0.2">
      <c r="B25" s="8" t="s">
        <v>14</v>
      </c>
    </row>
    <row r="26" spans="2:2" x14ac:dyDescent="0.2">
      <c r="B26" s="8" t="s">
        <v>14</v>
      </c>
    </row>
    <row r="27" spans="2:2" x14ac:dyDescent="0.2">
      <c r="B27" s="8" t="s">
        <v>13</v>
      </c>
    </row>
    <row r="28" spans="2:2" x14ac:dyDescent="0.2">
      <c r="B28" s="8" t="s">
        <v>14</v>
      </c>
    </row>
    <row r="29" spans="2:2" x14ac:dyDescent="0.2">
      <c r="B29" s="8" t="s">
        <v>14</v>
      </c>
    </row>
    <row r="30" spans="2:2" x14ac:dyDescent="0.2">
      <c r="B30" s="8" t="s">
        <v>13</v>
      </c>
    </row>
    <row r="31" spans="2:2" x14ac:dyDescent="0.2">
      <c r="B31" s="8" t="s">
        <v>13</v>
      </c>
    </row>
    <row r="32" spans="2:2" x14ac:dyDescent="0.2">
      <c r="B32" s="8" t="s">
        <v>13</v>
      </c>
    </row>
    <row r="33" spans="2:2" x14ac:dyDescent="0.2">
      <c r="B33" s="8" t="s">
        <v>14</v>
      </c>
    </row>
    <row r="34" spans="2:2" x14ac:dyDescent="0.2">
      <c r="B34" s="8" t="s">
        <v>14</v>
      </c>
    </row>
    <row r="35" spans="2:2" x14ac:dyDescent="0.2">
      <c r="B35" s="8" t="s">
        <v>13</v>
      </c>
    </row>
    <row r="36" spans="2:2" x14ac:dyDescent="0.2">
      <c r="B36" s="8" t="s">
        <v>14</v>
      </c>
    </row>
    <row r="37" spans="2:2" x14ac:dyDescent="0.2">
      <c r="B37" s="8" t="s">
        <v>14</v>
      </c>
    </row>
    <row r="38" spans="2:2" x14ac:dyDescent="0.2">
      <c r="B38" s="8" t="s">
        <v>14</v>
      </c>
    </row>
    <row r="39" spans="2:2" x14ac:dyDescent="0.2">
      <c r="B39" s="8" t="s">
        <v>13</v>
      </c>
    </row>
    <row r="40" spans="2:2" x14ac:dyDescent="0.2">
      <c r="B40" s="8" t="s">
        <v>14</v>
      </c>
    </row>
    <row r="41" spans="2:2" x14ac:dyDescent="0.2">
      <c r="B41" s="8" t="s">
        <v>13</v>
      </c>
    </row>
    <row r="42" spans="2:2" x14ac:dyDescent="0.2">
      <c r="B42" s="8" t="s">
        <v>13</v>
      </c>
    </row>
    <row r="43" spans="2:2" x14ac:dyDescent="0.2">
      <c r="B43" s="8" t="s">
        <v>14</v>
      </c>
    </row>
    <row r="44" spans="2:2" x14ac:dyDescent="0.2">
      <c r="B44" s="8" t="s">
        <v>14</v>
      </c>
    </row>
    <row r="45" spans="2:2" x14ac:dyDescent="0.2">
      <c r="B45" s="8" t="s">
        <v>14</v>
      </c>
    </row>
    <row r="46" spans="2:2" x14ac:dyDescent="0.2">
      <c r="B46" s="8" t="s">
        <v>13</v>
      </c>
    </row>
    <row r="47" spans="2:2" x14ac:dyDescent="0.2">
      <c r="B47" s="8" t="s">
        <v>13</v>
      </c>
    </row>
    <row r="48" spans="2:2" x14ac:dyDescent="0.2">
      <c r="B48" s="8" t="s">
        <v>13</v>
      </c>
    </row>
    <row r="49" spans="2:2" x14ac:dyDescent="0.2">
      <c r="B49" s="8" t="s">
        <v>14</v>
      </c>
    </row>
    <row r="50" spans="2:2" x14ac:dyDescent="0.2">
      <c r="B50" s="8" t="s">
        <v>13</v>
      </c>
    </row>
    <row r="51" spans="2:2" x14ac:dyDescent="0.2">
      <c r="B51" s="8" t="s">
        <v>14</v>
      </c>
    </row>
    <row r="52" spans="2:2" x14ac:dyDescent="0.2">
      <c r="B52" s="8" t="s">
        <v>13</v>
      </c>
    </row>
    <row r="53" spans="2:2" x14ac:dyDescent="0.2">
      <c r="B53" s="8" t="s">
        <v>14</v>
      </c>
    </row>
    <row r="54" spans="2:2" x14ac:dyDescent="0.2">
      <c r="B54" s="8" t="s">
        <v>13</v>
      </c>
    </row>
    <row r="55" spans="2:2" x14ac:dyDescent="0.2">
      <c r="B55" s="8" t="s">
        <v>13</v>
      </c>
    </row>
    <row r="56" spans="2:2" x14ac:dyDescent="0.2">
      <c r="B56" s="8" t="s">
        <v>13</v>
      </c>
    </row>
    <row r="57" spans="2:2" x14ac:dyDescent="0.2">
      <c r="B57" s="8" t="s">
        <v>14</v>
      </c>
    </row>
    <row r="58" spans="2:2" x14ac:dyDescent="0.2">
      <c r="B58" s="8" t="s">
        <v>13</v>
      </c>
    </row>
    <row r="59" spans="2:2" x14ac:dyDescent="0.2">
      <c r="B59" s="8" t="s">
        <v>13</v>
      </c>
    </row>
    <row r="60" spans="2:2" x14ac:dyDescent="0.2">
      <c r="B60" s="8" t="s">
        <v>13</v>
      </c>
    </row>
    <row r="61" spans="2:2" x14ac:dyDescent="0.2">
      <c r="B61" s="8" t="s">
        <v>13</v>
      </c>
    </row>
    <row r="62" spans="2:2" x14ac:dyDescent="0.2">
      <c r="B62" s="8" t="s">
        <v>13</v>
      </c>
    </row>
    <row r="63" spans="2:2" x14ac:dyDescent="0.2">
      <c r="B63" s="8" t="s">
        <v>13</v>
      </c>
    </row>
    <row r="64" spans="2:2" x14ac:dyDescent="0.2">
      <c r="B64" s="8" t="s">
        <v>13</v>
      </c>
    </row>
    <row r="65" spans="2:2" x14ac:dyDescent="0.2">
      <c r="B65" s="8" t="s">
        <v>13</v>
      </c>
    </row>
    <row r="66" spans="2:2" x14ac:dyDescent="0.2">
      <c r="B66" s="8" t="s">
        <v>13</v>
      </c>
    </row>
    <row r="67" spans="2:2" x14ac:dyDescent="0.2">
      <c r="B67" s="8" t="s">
        <v>14</v>
      </c>
    </row>
    <row r="68" spans="2:2" x14ac:dyDescent="0.2">
      <c r="B68" s="8" t="s">
        <v>13</v>
      </c>
    </row>
    <row r="69" spans="2:2" x14ac:dyDescent="0.2">
      <c r="B69" s="8" t="s">
        <v>13</v>
      </c>
    </row>
    <row r="70" spans="2:2" x14ac:dyDescent="0.2">
      <c r="B70" s="8" t="s">
        <v>14</v>
      </c>
    </row>
    <row r="71" spans="2:2" x14ac:dyDescent="0.2">
      <c r="B71" s="8" t="s">
        <v>14</v>
      </c>
    </row>
    <row r="72" spans="2:2" x14ac:dyDescent="0.2">
      <c r="B72" s="8" t="s">
        <v>13</v>
      </c>
    </row>
    <row r="73" spans="2:2" x14ac:dyDescent="0.2">
      <c r="B73" s="8" t="s">
        <v>14</v>
      </c>
    </row>
    <row r="74" spans="2:2" x14ac:dyDescent="0.2">
      <c r="B74" s="8" t="s">
        <v>13</v>
      </c>
    </row>
    <row r="75" spans="2:2" x14ac:dyDescent="0.2">
      <c r="B75" s="8" t="s">
        <v>14</v>
      </c>
    </row>
    <row r="76" spans="2:2" x14ac:dyDescent="0.2">
      <c r="B76" s="8" t="s">
        <v>13</v>
      </c>
    </row>
    <row r="77" spans="2:2" x14ac:dyDescent="0.2">
      <c r="B77" s="8" t="s">
        <v>14</v>
      </c>
    </row>
    <row r="78" spans="2:2" x14ac:dyDescent="0.2">
      <c r="B78" s="8" t="s">
        <v>14</v>
      </c>
    </row>
    <row r="79" spans="2:2" x14ac:dyDescent="0.2">
      <c r="B79" s="8" t="s">
        <v>14</v>
      </c>
    </row>
    <row r="80" spans="2:2" x14ac:dyDescent="0.2">
      <c r="B80" s="8" t="s">
        <v>13</v>
      </c>
    </row>
    <row r="81" spans="2:2" x14ac:dyDescent="0.2">
      <c r="B81" s="8" t="s">
        <v>14</v>
      </c>
    </row>
    <row r="82" spans="2:2" x14ac:dyDescent="0.2">
      <c r="B82" s="8" t="s">
        <v>14</v>
      </c>
    </row>
    <row r="83" spans="2:2" x14ac:dyDescent="0.2">
      <c r="B83" s="8" t="s">
        <v>13</v>
      </c>
    </row>
    <row r="84" spans="2:2" x14ac:dyDescent="0.2">
      <c r="B84" s="8" t="s">
        <v>13</v>
      </c>
    </row>
    <row r="85" spans="2:2" x14ac:dyDescent="0.2">
      <c r="B85" s="8" t="s">
        <v>14</v>
      </c>
    </row>
    <row r="86" spans="2:2" x14ac:dyDescent="0.2">
      <c r="B86" s="8" t="s">
        <v>14</v>
      </c>
    </row>
    <row r="87" spans="2:2" x14ac:dyDescent="0.2">
      <c r="B87" s="8" t="s">
        <v>13</v>
      </c>
    </row>
    <row r="88" spans="2:2" x14ac:dyDescent="0.2">
      <c r="B88" s="8" t="s">
        <v>14</v>
      </c>
    </row>
    <row r="89" spans="2:2" x14ac:dyDescent="0.2">
      <c r="B89" s="8" t="s">
        <v>13</v>
      </c>
    </row>
    <row r="90" spans="2:2" x14ac:dyDescent="0.2">
      <c r="B90" s="8" t="s">
        <v>13</v>
      </c>
    </row>
    <row r="91" spans="2:2" x14ac:dyDescent="0.2">
      <c r="B91" s="8" t="s">
        <v>13</v>
      </c>
    </row>
    <row r="92" spans="2:2" x14ac:dyDescent="0.2">
      <c r="B92" s="8" t="s">
        <v>13</v>
      </c>
    </row>
    <row r="93" spans="2:2" x14ac:dyDescent="0.2">
      <c r="B93" s="8" t="s">
        <v>14</v>
      </c>
    </row>
    <row r="94" spans="2:2" x14ac:dyDescent="0.2">
      <c r="B94" s="8" t="s">
        <v>13</v>
      </c>
    </row>
    <row r="95" spans="2:2" x14ac:dyDescent="0.2">
      <c r="B95" s="8" t="s">
        <v>14</v>
      </c>
    </row>
    <row r="96" spans="2:2" x14ac:dyDescent="0.2">
      <c r="B96" s="8" t="s">
        <v>13</v>
      </c>
    </row>
    <row r="97" spans="2:2" x14ac:dyDescent="0.2">
      <c r="B97" s="8" t="s">
        <v>13</v>
      </c>
    </row>
    <row r="98" spans="2:2" x14ac:dyDescent="0.2">
      <c r="B98" s="8" t="s">
        <v>14</v>
      </c>
    </row>
    <row r="99" spans="2:2" x14ac:dyDescent="0.2">
      <c r="B99" s="8" t="s">
        <v>13</v>
      </c>
    </row>
    <row r="100" spans="2:2" x14ac:dyDescent="0.2">
      <c r="B100" s="8" t="s">
        <v>14</v>
      </c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34EBD-DB20-4EB3-A48B-2F2A56C5CABD}">
  <sheetPr codeName="Sheet4">
    <tabColor theme="4" tint="0.79998168889431442"/>
  </sheetPr>
  <dimension ref="B1:J58"/>
  <sheetViews>
    <sheetView showGridLines="0" topLeftCell="B1" workbookViewId="0">
      <selection activeCell="B10" sqref="B10"/>
    </sheetView>
  </sheetViews>
  <sheetFormatPr baseColWidth="10" defaultColWidth="8.83203125" defaultRowHeight="15" x14ac:dyDescent="0.2"/>
  <cols>
    <col min="1" max="1" width="2.83203125" customWidth="1"/>
    <col min="2" max="2" width="19.5" customWidth="1"/>
    <col min="4" max="4" width="14" bestFit="1" customWidth="1"/>
    <col min="5" max="5" width="9.33203125" bestFit="1" customWidth="1"/>
    <col min="6" max="6" width="25.5" bestFit="1" customWidth="1"/>
    <col min="9" max="9" width="19" customWidth="1"/>
    <col min="10" max="10" width="12.1640625" customWidth="1"/>
  </cols>
  <sheetData>
    <row r="1" spans="2:10" ht="25.5" customHeight="1" x14ac:dyDescent="0.25">
      <c r="B1" s="18" t="s">
        <v>118</v>
      </c>
    </row>
    <row r="2" spans="2:10" ht="15" customHeight="1" x14ac:dyDescent="0.2">
      <c r="B2" s="30" t="s">
        <v>3</v>
      </c>
    </row>
    <row r="3" spans="2:10" ht="18" customHeight="1" x14ac:dyDescent="0.2"/>
    <row r="4" spans="2:10" ht="15" customHeight="1" x14ac:dyDescent="0.2">
      <c r="D4" s="3" t="s">
        <v>52</v>
      </c>
      <c r="H4" s="3" t="s">
        <v>53</v>
      </c>
    </row>
    <row r="5" spans="2:10" ht="32" x14ac:dyDescent="0.2">
      <c r="B5" s="14" t="s">
        <v>37</v>
      </c>
      <c r="D5" s="9" t="s">
        <v>35</v>
      </c>
      <c r="E5" t="s">
        <v>15</v>
      </c>
      <c r="F5" t="s">
        <v>333</v>
      </c>
      <c r="H5" s="66" t="s">
        <v>34</v>
      </c>
      <c r="I5" s="67" t="s">
        <v>37</v>
      </c>
      <c r="J5" s="65" t="s">
        <v>15</v>
      </c>
    </row>
    <row r="6" spans="2:10" x14ac:dyDescent="0.2">
      <c r="B6" s="8">
        <v>111</v>
      </c>
      <c r="C6" s="11"/>
      <c r="D6" s="101" t="s">
        <v>319</v>
      </c>
      <c r="E6">
        <v>9</v>
      </c>
      <c r="F6" s="102">
        <v>0.16981132075471697</v>
      </c>
      <c r="H6" s="68">
        <v>90</v>
      </c>
      <c r="I6" s="8" t="str">
        <f>H6-20&amp;"-"&amp;H6</f>
        <v>70-90</v>
      </c>
      <c r="J6" s="8" cm="1">
        <f t="array" ref="J6:J19">FREQUENCY(B6:B58,H6:H18)</f>
        <v>9</v>
      </c>
    </row>
    <row r="7" spans="2:10" x14ac:dyDescent="0.2">
      <c r="B7" s="8">
        <v>107</v>
      </c>
      <c r="C7" s="11"/>
      <c r="D7" s="101" t="s">
        <v>320</v>
      </c>
      <c r="E7">
        <v>22</v>
      </c>
      <c r="F7" s="102">
        <v>0.58490566037735847</v>
      </c>
      <c r="H7" s="68">
        <v>110</v>
      </c>
      <c r="I7" s="8" t="str">
        <f t="shared" ref="I7:I19" si="0">H7-20&amp;"-"&amp;H7</f>
        <v>90-110</v>
      </c>
      <c r="J7" s="8">
        <v>22</v>
      </c>
    </row>
    <row r="8" spans="2:10" x14ac:dyDescent="0.2">
      <c r="B8" s="8">
        <v>109</v>
      </c>
      <c r="C8" s="11"/>
      <c r="D8" s="101" t="s">
        <v>321</v>
      </c>
      <c r="E8">
        <v>11</v>
      </c>
      <c r="F8" s="102">
        <v>0.79245283018867929</v>
      </c>
      <c r="H8" s="68">
        <v>130</v>
      </c>
      <c r="I8" s="8" t="str">
        <f t="shared" si="0"/>
        <v>110-130</v>
      </c>
      <c r="J8" s="8">
        <v>11</v>
      </c>
    </row>
    <row r="9" spans="2:10" x14ac:dyDescent="0.2">
      <c r="B9" s="8">
        <v>148</v>
      </c>
      <c r="C9" s="11"/>
      <c r="D9" s="101" t="s">
        <v>322</v>
      </c>
      <c r="E9">
        <v>4</v>
      </c>
      <c r="F9" s="102">
        <v>0.86792452830188682</v>
      </c>
      <c r="H9" s="68">
        <v>150</v>
      </c>
      <c r="I9" s="8" t="str">
        <f t="shared" si="0"/>
        <v>130-150</v>
      </c>
      <c r="J9" s="8">
        <v>4</v>
      </c>
    </row>
    <row r="10" spans="2:10" x14ac:dyDescent="0.2">
      <c r="B10" s="8">
        <v>255.5</v>
      </c>
      <c r="C10" s="11"/>
      <c r="D10" s="101" t="s">
        <v>323</v>
      </c>
      <c r="E10">
        <v>3</v>
      </c>
      <c r="F10" s="102">
        <v>0.92452830188679247</v>
      </c>
      <c r="H10" s="68">
        <v>170</v>
      </c>
      <c r="I10" s="8" t="str">
        <f t="shared" si="0"/>
        <v>150-170</v>
      </c>
      <c r="J10" s="8">
        <v>3</v>
      </c>
    </row>
    <row r="11" spans="2:10" x14ac:dyDescent="0.2">
      <c r="B11" s="8">
        <v>103.5</v>
      </c>
      <c r="C11" s="11"/>
      <c r="D11" s="101" t="s">
        <v>324</v>
      </c>
      <c r="E11">
        <v>1</v>
      </c>
      <c r="F11" s="102">
        <v>0.94339622641509435</v>
      </c>
      <c r="H11" s="68">
        <v>190</v>
      </c>
      <c r="I11" s="8" t="str">
        <f t="shared" si="0"/>
        <v>170-190</v>
      </c>
      <c r="J11" s="8">
        <v>1</v>
      </c>
    </row>
    <row r="12" spans="2:10" x14ac:dyDescent="0.2">
      <c r="B12" s="8">
        <v>114.5</v>
      </c>
      <c r="C12" s="11"/>
      <c r="D12" s="101" t="s">
        <v>325</v>
      </c>
      <c r="E12">
        <v>1</v>
      </c>
      <c r="F12" s="102">
        <v>0.96226415094339623</v>
      </c>
      <c r="H12" s="68">
        <v>210</v>
      </c>
      <c r="I12" s="8" t="str">
        <f t="shared" si="0"/>
        <v>190-210</v>
      </c>
      <c r="J12" s="8">
        <v>1</v>
      </c>
    </row>
    <row r="13" spans="2:10" x14ac:dyDescent="0.2">
      <c r="B13" s="8">
        <v>124</v>
      </c>
      <c r="C13" s="11"/>
      <c r="D13" s="101" t="s">
        <v>326</v>
      </c>
      <c r="E13">
        <v>0</v>
      </c>
      <c r="F13" s="102">
        <v>0.96226415094339623</v>
      </c>
      <c r="H13" s="68">
        <v>230</v>
      </c>
      <c r="I13" s="8" t="str">
        <f t="shared" si="0"/>
        <v>210-230</v>
      </c>
      <c r="J13" s="8">
        <v>0</v>
      </c>
    </row>
    <row r="14" spans="2:10" x14ac:dyDescent="0.2">
      <c r="B14" s="8">
        <v>132.5</v>
      </c>
      <c r="C14" s="11"/>
      <c r="D14" s="101" t="s">
        <v>327</v>
      </c>
      <c r="E14">
        <v>0</v>
      </c>
      <c r="F14" s="102">
        <v>0.96226415094339623</v>
      </c>
      <c r="H14" s="68">
        <v>250</v>
      </c>
      <c r="I14" s="8" t="str">
        <f t="shared" si="0"/>
        <v>230-250</v>
      </c>
      <c r="J14" s="8">
        <v>0</v>
      </c>
    </row>
    <row r="15" spans="2:10" x14ac:dyDescent="0.2">
      <c r="B15" s="8">
        <v>99</v>
      </c>
      <c r="C15" s="11"/>
      <c r="D15" s="101" t="s">
        <v>328</v>
      </c>
      <c r="E15">
        <v>1</v>
      </c>
      <c r="F15" s="102">
        <v>0.98113207547169812</v>
      </c>
      <c r="H15" s="68">
        <v>270</v>
      </c>
      <c r="I15" s="8" t="str">
        <f t="shared" si="0"/>
        <v>250-270</v>
      </c>
      <c r="J15" s="8">
        <v>1</v>
      </c>
    </row>
    <row r="16" spans="2:10" x14ac:dyDescent="0.2">
      <c r="B16" s="8">
        <v>124</v>
      </c>
      <c r="C16" s="11"/>
      <c r="D16" s="101" t="s">
        <v>329</v>
      </c>
      <c r="E16">
        <v>0</v>
      </c>
      <c r="F16" s="102">
        <v>0.98113207547169812</v>
      </c>
      <c r="H16" s="68">
        <v>290</v>
      </c>
      <c r="I16" s="8" t="str">
        <f t="shared" si="0"/>
        <v>270-290</v>
      </c>
      <c r="J16" s="8">
        <v>0</v>
      </c>
    </row>
    <row r="17" spans="2:10" x14ac:dyDescent="0.2">
      <c r="B17" s="8">
        <v>82</v>
      </c>
      <c r="C17" s="11"/>
      <c r="D17" s="101" t="s">
        <v>330</v>
      </c>
      <c r="E17">
        <v>0</v>
      </c>
      <c r="F17" s="102">
        <v>0.98113207547169812</v>
      </c>
      <c r="H17" s="68">
        <v>310</v>
      </c>
      <c r="I17" s="8" t="str">
        <f t="shared" si="0"/>
        <v>290-310</v>
      </c>
      <c r="J17" s="8">
        <v>0</v>
      </c>
    </row>
    <row r="18" spans="2:10" x14ac:dyDescent="0.2">
      <c r="B18" s="8">
        <v>185</v>
      </c>
      <c r="C18" s="11"/>
      <c r="D18" s="101" t="s">
        <v>331</v>
      </c>
      <c r="E18">
        <v>0</v>
      </c>
      <c r="F18" s="102">
        <v>0.98113207547169812</v>
      </c>
      <c r="H18" s="68">
        <v>330</v>
      </c>
      <c r="I18" s="8" t="str">
        <f t="shared" si="0"/>
        <v>310-330</v>
      </c>
      <c r="J18" s="8">
        <v>0</v>
      </c>
    </row>
    <row r="19" spans="2:10" x14ac:dyDescent="0.2">
      <c r="B19" s="8">
        <v>89.5</v>
      </c>
      <c r="C19" s="11"/>
      <c r="D19" s="101" t="s">
        <v>332</v>
      </c>
      <c r="E19">
        <v>1</v>
      </c>
      <c r="F19" s="102">
        <v>1</v>
      </c>
      <c r="H19" s="68">
        <v>350</v>
      </c>
      <c r="I19" s="8" t="str">
        <f t="shared" si="0"/>
        <v>330-350</v>
      </c>
      <c r="J19" s="8">
        <v>1</v>
      </c>
    </row>
    <row r="20" spans="2:10" x14ac:dyDescent="0.2">
      <c r="B20" s="8">
        <v>91.5</v>
      </c>
      <c r="C20" s="11"/>
      <c r="D20" s="101" t="s">
        <v>17</v>
      </c>
      <c r="E20">
        <v>53</v>
      </c>
      <c r="F20" s="102"/>
    </row>
    <row r="21" spans="2:10" x14ac:dyDescent="0.2">
      <c r="B21" s="8">
        <v>113.5</v>
      </c>
      <c r="C21" s="11"/>
    </row>
    <row r="22" spans="2:10" x14ac:dyDescent="0.2">
      <c r="B22" s="8">
        <v>99</v>
      </c>
      <c r="C22" s="11"/>
    </row>
    <row r="23" spans="2:10" x14ac:dyDescent="0.2">
      <c r="B23" s="8">
        <v>75.5</v>
      </c>
      <c r="C23" s="11"/>
    </row>
    <row r="24" spans="2:10" x14ac:dyDescent="0.2">
      <c r="B24" s="8">
        <v>86</v>
      </c>
      <c r="C24" s="11"/>
    </row>
    <row r="25" spans="2:10" x14ac:dyDescent="0.2">
      <c r="B25" s="8">
        <v>156.5</v>
      </c>
      <c r="C25" s="11"/>
    </row>
    <row r="26" spans="2:10" x14ac:dyDescent="0.2">
      <c r="B26" s="8">
        <v>99.5</v>
      </c>
      <c r="C26" s="11"/>
    </row>
    <row r="27" spans="2:10" x14ac:dyDescent="0.2">
      <c r="B27" s="8">
        <v>148</v>
      </c>
      <c r="C27" s="11"/>
    </row>
    <row r="28" spans="2:10" x14ac:dyDescent="0.2">
      <c r="B28" s="8">
        <v>82</v>
      </c>
      <c r="C28" s="11"/>
    </row>
    <row r="29" spans="2:10" x14ac:dyDescent="0.2">
      <c r="B29" s="8">
        <v>103.5</v>
      </c>
      <c r="C29" s="11"/>
    </row>
    <row r="30" spans="2:10" x14ac:dyDescent="0.2">
      <c r="B30" s="8">
        <v>205.5</v>
      </c>
      <c r="C30" s="11"/>
    </row>
    <row r="31" spans="2:10" x14ac:dyDescent="0.2">
      <c r="B31" s="8">
        <v>103.5</v>
      </c>
      <c r="C31" s="11"/>
    </row>
    <row r="32" spans="2:10" x14ac:dyDescent="0.2">
      <c r="B32" s="8">
        <v>340</v>
      </c>
      <c r="C32" s="11"/>
    </row>
    <row r="33" spans="2:3" x14ac:dyDescent="0.2">
      <c r="B33" s="8">
        <v>103.5</v>
      </c>
      <c r="C33" s="11"/>
    </row>
    <row r="34" spans="2:3" x14ac:dyDescent="0.2">
      <c r="B34" s="8">
        <v>99.5</v>
      </c>
      <c r="C34" s="11"/>
    </row>
    <row r="35" spans="2:3" x14ac:dyDescent="0.2">
      <c r="B35" s="8">
        <v>103</v>
      </c>
      <c r="C35" s="11"/>
    </row>
    <row r="36" spans="2:3" x14ac:dyDescent="0.2">
      <c r="B36" s="8">
        <v>103.5</v>
      </c>
      <c r="C36" s="11"/>
    </row>
    <row r="37" spans="2:3" x14ac:dyDescent="0.2">
      <c r="B37" s="8">
        <v>165</v>
      </c>
      <c r="C37" s="11"/>
    </row>
    <row r="38" spans="2:3" x14ac:dyDescent="0.2">
      <c r="B38" s="8">
        <v>124.5</v>
      </c>
      <c r="C38" s="11"/>
    </row>
    <row r="39" spans="2:3" x14ac:dyDescent="0.2">
      <c r="B39" s="8">
        <v>103.5</v>
      </c>
      <c r="C39" s="11"/>
    </row>
    <row r="40" spans="2:3" x14ac:dyDescent="0.2">
      <c r="B40" s="8">
        <v>82.5</v>
      </c>
      <c r="C40" s="11"/>
    </row>
    <row r="41" spans="2:3" x14ac:dyDescent="0.2">
      <c r="B41" s="8">
        <v>93</v>
      </c>
      <c r="C41" s="11"/>
    </row>
    <row r="42" spans="2:3" x14ac:dyDescent="0.2">
      <c r="B42" s="8">
        <v>168</v>
      </c>
      <c r="C42" s="11"/>
    </row>
    <row r="43" spans="2:3" x14ac:dyDescent="0.2">
      <c r="B43" s="8">
        <v>96</v>
      </c>
      <c r="C43" s="11"/>
    </row>
    <row r="44" spans="2:3" x14ac:dyDescent="0.2">
      <c r="B44" s="8">
        <v>80</v>
      </c>
      <c r="C44" s="11"/>
    </row>
    <row r="45" spans="2:3" x14ac:dyDescent="0.2">
      <c r="B45" s="8">
        <v>124.5</v>
      </c>
      <c r="C45" s="11"/>
    </row>
    <row r="46" spans="2:3" x14ac:dyDescent="0.2">
      <c r="B46" s="8">
        <v>99</v>
      </c>
      <c r="C46" s="11"/>
    </row>
    <row r="47" spans="2:3" x14ac:dyDescent="0.2">
      <c r="B47" s="8">
        <v>124</v>
      </c>
      <c r="C47" s="11"/>
    </row>
    <row r="48" spans="2:3" x14ac:dyDescent="0.2">
      <c r="B48" s="8">
        <v>91.5</v>
      </c>
      <c r="C48" s="11"/>
    </row>
    <row r="49" spans="2:3" x14ac:dyDescent="0.2">
      <c r="B49" s="8">
        <v>144.5</v>
      </c>
      <c r="C49" s="11"/>
    </row>
    <row r="50" spans="2:3" x14ac:dyDescent="0.2">
      <c r="B50" s="8">
        <v>114.5</v>
      </c>
      <c r="C50" s="11"/>
    </row>
    <row r="51" spans="2:3" x14ac:dyDescent="0.2">
      <c r="B51" s="8">
        <v>104.5</v>
      </c>
      <c r="C51" s="11"/>
    </row>
    <row r="52" spans="2:3" x14ac:dyDescent="0.2">
      <c r="B52" s="8">
        <v>124</v>
      </c>
      <c r="C52" s="11"/>
    </row>
    <row r="53" spans="2:3" x14ac:dyDescent="0.2">
      <c r="B53" s="8">
        <v>113</v>
      </c>
      <c r="C53" s="11"/>
    </row>
    <row r="54" spans="2:3" x14ac:dyDescent="0.2">
      <c r="B54" s="8">
        <v>78</v>
      </c>
      <c r="C54" s="11"/>
    </row>
    <row r="55" spans="2:3" x14ac:dyDescent="0.2">
      <c r="B55" s="8">
        <v>109</v>
      </c>
      <c r="C55" s="11"/>
    </row>
    <row r="56" spans="2:3" x14ac:dyDescent="0.2">
      <c r="B56" s="8">
        <v>99.5</v>
      </c>
      <c r="C56" s="11"/>
    </row>
    <row r="57" spans="2:3" x14ac:dyDescent="0.2">
      <c r="B57" s="8">
        <v>107</v>
      </c>
      <c r="C57" s="11"/>
    </row>
    <row r="58" spans="2:3" x14ac:dyDescent="0.2">
      <c r="B58" s="8">
        <v>84</v>
      </c>
      <c r="C58" s="11"/>
    </row>
  </sheetData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B4540-9162-4B24-B477-8B574286D1EC}">
  <sheetPr codeName="Sheet5">
    <tabColor theme="4" tint="0.79998168889431442"/>
  </sheetPr>
  <dimension ref="B1:O58"/>
  <sheetViews>
    <sheetView showGridLines="0" topLeftCell="K1" workbookViewId="0">
      <selection activeCell="M6" sqref="M6"/>
    </sheetView>
  </sheetViews>
  <sheetFormatPr baseColWidth="10" defaultColWidth="8.83203125" defaultRowHeight="15" x14ac:dyDescent="0.2"/>
  <cols>
    <col min="1" max="1" width="2.83203125" customWidth="1"/>
    <col min="2" max="2" width="19.5" customWidth="1"/>
    <col min="12" max="12" width="19" customWidth="1"/>
    <col min="13" max="13" width="12.1640625" customWidth="1"/>
  </cols>
  <sheetData>
    <row r="1" spans="2:15" ht="25.5" customHeight="1" x14ac:dyDescent="0.25">
      <c r="B1" s="18" t="s">
        <v>118</v>
      </c>
    </row>
    <row r="2" spans="2:15" ht="15" customHeight="1" x14ac:dyDescent="0.2">
      <c r="B2" s="30" t="s">
        <v>4</v>
      </c>
    </row>
    <row r="3" spans="2:15" ht="18" customHeight="1" x14ac:dyDescent="0.2"/>
    <row r="4" spans="2:15" x14ac:dyDescent="0.2">
      <c r="D4" s="3" t="s">
        <v>56</v>
      </c>
      <c r="O4" s="3" t="s">
        <v>55</v>
      </c>
    </row>
    <row r="5" spans="2:15" ht="32" x14ac:dyDescent="0.2">
      <c r="B5" s="14" t="s">
        <v>37</v>
      </c>
      <c r="L5" s="13" t="s">
        <v>37</v>
      </c>
      <c r="M5" s="7" t="s">
        <v>15</v>
      </c>
    </row>
    <row r="6" spans="2:15" x14ac:dyDescent="0.2">
      <c r="B6" s="8">
        <v>111</v>
      </c>
      <c r="L6" s="8" t="s">
        <v>269</v>
      </c>
      <c r="M6" s="8">
        <v>9</v>
      </c>
    </row>
    <row r="7" spans="2:15" x14ac:dyDescent="0.2">
      <c r="B7" s="8">
        <v>107</v>
      </c>
      <c r="L7" s="8" t="s">
        <v>270</v>
      </c>
      <c r="M7" s="8">
        <v>18</v>
      </c>
    </row>
    <row r="8" spans="2:15" x14ac:dyDescent="0.2">
      <c r="B8" s="8">
        <v>109</v>
      </c>
      <c r="L8" s="8" t="s">
        <v>271</v>
      </c>
      <c r="M8" s="8">
        <v>9</v>
      </c>
    </row>
    <row r="9" spans="2:15" x14ac:dyDescent="0.2">
      <c r="B9" s="8">
        <v>148</v>
      </c>
      <c r="L9" s="8" t="s">
        <v>272</v>
      </c>
      <c r="M9" s="8">
        <v>7</v>
      </c>
    </row>
    <row r="10" spans="2:15" x14ac:dyDescent="0.2">
      <c r="B10" s="8">
        <v>255.5</v>
      </c>
      <c r="L10" s="8" t="s">
        <v>273</v>
      </c>
      <c r="M10" s="8">
        <v>3</v>
      </c>
    </row>
    <row r="11" spans="2:15" x14ac:dyDescent="0.2">
      <c r="B11" s="8">
        <v>103.5</v>
      </c>
      <c r="L11" s="8" t="s">
        <v>274</v>
      </c>
      <c r="M11" s="8">
        <v>2</v>
      </c>
    </row>
    <row r="12" spans="2:15" x14ac:dyDescent="0.2">
      <c r="B12" s="8">
        <v>114.5</v>
      </c>
      <c r="L12" s="8" t="s">
        <v>275</v>
      </c>
      <c r="M12" s="8">
        <v>1</v>
      </c>
    </row>
    <row r="13" spans="2:15" x14ac:dyDescent="0.2">
      <c r="B13" s="8">
        <v>124</v>
      </c>
      <c r="L13" s="8" t="s">
        <v>276</v>
      </c>
      <c r="M13" s="8">
        <v>1</v>
      </c>
    </row>
    <row r="14" spans="2:15" x14ac:dyDescent="0.2">
      <c r="B14" s="8">
        <v>132.5</v>
      </c>
      <c r="L14" s="8" t="s">
        <v>277</v>
      </c>
      <c r="M14" s="8">
        <v>1</v>
      </c>
    </row>
    <row r="15" spans="2:15" x14ac:dyDescent="0.2">
      <c r="B15" s="8">
        <v>99</v>
      </c>
      <c r="L15" s="8" t="s">
        <v>278</v>
      </c>
      <c r="M15" s="8">
        <v>0</v>
      </c>
    </row>
    <row r="16" spans="2:15" x14ac:dyDescent="0.2">
      <c r="B16" s="8">
        <v>124</v>
      </c>
      <c r="L16" s="8" t="s">
        <v>279</v>
      </c>
      <c r="M16" s="8">
        <v>0</v>
      </c>
    </row>
    <row r="17" spans="2:13" x14ac:dyDescent="0.2">
      <c r="B17" s="8">
        <v>82</v>
      </c>
      <c r="L17" s="8" t="s">
        <v>280</v>
      </c>
      <c r="M17" s="8">
        <v>0</v>
      </c>
    </row>
    <row r="18" spans="2:13" x14ac:dyDescent="0.2">
      <c r="B18" s="8">
        <v>185</v>
      </c>
      <c r="L18" s="8" t="s">
        <v>281</v>
      </c>
      <c r="M18" s="8">
        <v>1</v>
      </c>
    </row>
    <row r="19" spans="2:13" x14ac:dyDescent="0.2">
      <c r="B19" s="8">
        <v>89.5</v>
      </c>
      <c r="L19" s="8" t="s">
        <v>282</v>
      </c>
      <c r="M19" s="8">
        <v>0</v>
      </c>
    </row>
    <row r="20" spans="2:13" x14ac:dyDescent="0.2">
      <c r="B20" s="8">
        <v>91.5</v>
      </c>
      <c r="L20" s="8" t="s">
        <v>283</v>
      </c>
      <c r="M20" s="8">
        <v>0</v>
      </c>
    </row>
    <row r="21" spans="2:13" x14ac:dyDescent="0.2">
      <c r="B21" s="8">
        <v>113.5</v>
      </c>
      <c r="L21" s="8" t="s">
        <v>284</v>
      </c>
      <c r="M21" s="8">
        <v>0</v>
      </c>
    </row>
    <row r="22" spans="2:13" x14ac:dyDescent="0.2">
      <c r="B22" s="8">
        <v>99</v>
      </c>
      <c r="L22" s="8" t="s">
        <v>285</v>
      </c>
      <c r="M22" s="8">
        <v>0</v>
      </c>
    </row>
    <row r="23" spans="2:13" x14ac:dyDescent="0.2">
      <c r="B23" s="8">
        <v>75.5</v>
      </c>
      <c r="L23" s="8" t="s">
        <v>286</v>
      </c>
      <c r="M23" s="8">
        <v>1</v>
      </c>
    </row>
    <row r="24" spans="2:13" x14ac:dyDescent="0.2">
      <c r="B24" s="8">
        <v>86</v>
      </c>
    </row>
    <row r="25" spans="2:13" x14ac:dyDescent="0.2">
      <c r="B25" s="8">
        <v>156.5</v>
      </c>
    </row>
    <row r="26" spans="2:13" x14ac:dyDescent="0.2">
      <c r="B26" s="8">
        <v>99.5</v>
      </c>
    </row>
    <row r="27" spans="2:13" x14ac:dyDescent="0.2">
      <c r="B27" s="8">
        <v>148</v>
      </c>
    </row>
    <row r="28" spans="2:13" x14ac:dyDescent="0.2">
      <c r="B28" s="8">
        <v>82</v>
      </c>
    </row>
    <row r="29" spans="2:13" x14ac:dyDescent="0.2">
      <c r="B29" s="8">
        <v>103.5</v>
      </c>
    </row>
    <row r="30" spans="2:13" x14ac:dyDescent="0.2">
      <c r="B30" s="8">
        <v>205.5</v>
      </c>
    </row>
    <row r="31" spans="2:13" x14ac:dyDescent="0.2">
      <c r="B31" s="8">
        <v>103.5</v>
      </c>
    </row>
    <row r="32" spans="2:13" x14ac:dyDescent="0.2">
      <c r="B32" s="8">
        <v>340</v>
      </c>
    </row>
    <row r="33" spans="2:2" x14ac:dyDescent="0.2">
      <c r="B33" s="8">
        <v>103.5</v>
      </c>
    </row>
    <row r="34" spans="2:2" x14ac:dyDescent="0.2">
      <c r="B34" s="8">
        <v>99.5</v>
      </c>
    </row>
    <row r="35" spans="2:2" x14ac:dyDescent="0.2">
      <c r="B35" s="8">
        <v>103</v>
      </c>
    </row>
    <row r="36" spans="2:2" x14ac:dyDescent="0.2">
      <c r="B36" s="8">
        <v>103.5</v>
      </c>
    </row>
    <row r="37" spans="2:2" x14ac:dyDescent="0.2">
      <c r="B37" s="8">
        <v>165</v>
      </c>
    </row>
    <row r="38" spans="2:2" x14ac:dyDescent="0.2">
      <c r="B38" s="8">
        <v>124.5</v>
      </c>
    </row>
    <row r="39" spans="2:2" x14ac:dyDescent="0.2">
      <c r="B39" s="8">
        <v>103.5</v>
      </c>
    </row>
    <row r="40" spans="2:2" x14ac:dyDescent="0.2">
      <c r="B40" s="8">
        <v>82.5</v>
      </c>
    </row>
    <row r="41" spans="2:2" x14ac:dyDescent="0.2">
      <c r="B41" s="8">
        <v>93</v>
      </c>
    </row>
    <row r="42" spans="2:2" x14ac:dyDescent="0.2">
      <c r="B42" s="8">
        <v>168</v>
      </c>
    </row>
    <row r="43" spans="2:2" x14ac:dyDescent="0.2">
      <c r="B43" s="8">
        <v>96</v>
      </c>
    </row>
    <row r="44" spans="2:2" x14ac:dyDescent="0.2">
      <c r="B44" s="8">
        <v>80</v>
      </c>
    </row>
    <row r="45" spans="2:2" x14ac:dyDescent="0.2">
      <c r="B45" s="8">
        <v>124.5</v>
      </c>
    </row>
    <row r="46" spans="2:2" x14ac:dyDescent="0.2">
      <c r="B46" s="8">
        <v>99</v>
      </c>
    </row>
    <row r="47" spans="2:2" x14ac:dyDescent="0.2">
      <c r="B47" s="8">
        <v>124</v>
      </c>
    </row>
    <row r="48" spans="2:2" x14ac:dyDescent="0.2">
      <c r="B48" s="8">
        <v>91.5</v>
      </c>
    </row>
    <row r="49" spans="2:2" x14ac:dyDescent="0.2">
      <c r="B49" s="8">
        <v>144.5</v>
      </c>
    </row>
    <row r="50" spans="2:2" x14ac:dyDescent="0.2">
      <c r="B50" s="8">
        <v>114.5</v>
      </c>
    </row>
    <row r="51" spans="2:2" x14ac:dyDescent="0.2">
      <c r="B51" s="8">
        <v>104.5</v>
      </c>
    </row>
    <row r="52" spans="2:2" x14ac:dyDescent="0.2">
      <c r="B52" s="8">
        <v>124</v>
      </c>
    </row>
    <row r="53" spans="2:2" x14ac:dyDescent="0.2">
      <c r="B53" s="8">
        <v>113</v>
      </c>
    </row>
    <row r="54" spans="2:2" x14ac:dyDescent="0.2">
      <c r="B54" s="8">
        <v>78</v>
      </c>
    </row>
    <row r="55" spans="2:2" x14ac:dyDescent="0.2">
      <c r="B55" s="8">
        <v>109</v>
      </c>
    </row>
    <row r="56" spans="2:2" x14ac:dyDescent="0.2">
      <c r="B56" s="8">
        <v>99.5</v>
      </c>
    </row>
    <row r="57" spans="2:2" x14ac:dyDescent="0.2">
      <c r="B57" s="8">
        <v>107</v>
      </c>
    </row>
    <row r="58" spans="2:2" x14ac:dyDescent="0.2">
      <c r="B58" s="8">
        <v>84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3057C-0333-45A4-B65F-319CF118218B}">
  <sheetPr codeName="Sheet6">
    <tabColor theme="4" tint="0.59999389629810485"/>
  </sheetPr>
  <dimension ref="B1:E100"/>
  <sheetViews>
    <sheetView showGridLines="0" topLeftCell="A3" workbookViewId="0">
      <selection activeCell="B28" sqref="B28"/>
    </sheetView>
  </sheetViews>
  <sheetFormatPr baseColWidth="10" defaultColWidth="8.83203125" defaultRowHeight="15" x14ac:dyDescent="0.2"/>
  <cols>
    <col min="1" max="1" width="2.83203125" customWidth="1"/>
    <col min="2" max="2" width="11.33203125" customWidth="1"/>
    <col min="4" max="4" width="10" bestFit="1" customWidth="1"/>
    <col min="5" max="5" width="9.33203125" bestFit="1" customWidth="1"/>
    <col min="6" max="6" width="16" bestFit="1" customWidth="1"/>
  </cols>
  <sheetData>
    <row r="1" spans="2:5" ht="25.5" customHeight="1" x14ac:dyDescent="0.25">
      <c r="B1" s="18" t="s">
        <v>119</v>
      </c>
    </row>
    <row r="2" spans="2:5" ht="15" customHeight="1" x14ac:dyDescent="0.2">
      <c r="B2" s="30" t="s">
        <v>287</v>
      </c>
    </row>
    <row r="3" spans="2:5" ht="18" customHeight="1" x14ac:dyDescent="0.2"/>
    <row r="5" spans="2:5" x14ac:dyDescent="0.2">
      <c r="B5" s="7" t="s">
        <v>77</v>
      </c>
      <c r="D5" s="9" t="s">
        <v>99</v>
      </c>
      <c r="E5" t="s">
        <v>15</v>
      </c>
    </row>
    <row r="6" spans="2:5" x14ac:dyDescent="0.2">
      <c r="B6" s="8">
        <v>90.2</v>
      </c>
      <c r="D6" s="101" t="s">
        <v>38</v>
      </c>
      <c r="E6">
        <v>1</v>
      </c>
    </row>
    <row r="7" spans="2:5" x14ac:dyDescent="0.2">
      <c r="B7" s="8">
        <v>92.8</v>
      </c>
      <c r="D7" s="101" t="s">
        <v>39</v>
      </c>
      <c r="E7">
        <v>3</v>
      </c>
    </row>
    <row r="8" spans="2:5" x14ac:dyDescent="0.2">
      <c r="B8" s="8">
        <v>68.7</v>
      </c>
      <c r="D8" s="101" t="s">
        <v>40</v>
      </c>
      <c r="E8">
        <v>17</v>
      </c>
    </row>
    <row r="9" spans="2:5" x14ac:dyDescent="0.2">
      <c r="B9" s="8">
        <v>80.7</v>
      </c>
      <c r="D9" s="101" t="s">
        <v>41</v>
      </c>
      <c r="E9">
        <v>24</v>
      </c>
    </row>
    <row r="10" spans="2:5" x14ac:dyDescent="0.2">
      <c r="B10" s="8">
        <v>74.900000000000006</v>
      </c>
      <c r="D10" s="101" t="s">
        <v>42</v>
      </c>
      <c r="E10">
        <v>29</v>
      </c>
    </row>
    <row r="11" spans="2:5" x14ac:dyDescent="0.2">
      <c r="B11" s="8">
        <v>80.7</v>
      </c>
      <c r="D11" s="101" t="s">
        <v>43</v>
      </c>
      <c r="E11">
        <v>17</v>
      </c>
    </row>
    <row r="12" spans="2:5" x14ac:dyDescent="0.2">
      <c r="B12" s="8">
        <v>83.3</v>
      </c>
      <c r="D12" s="101" t="s">
        <v>44</v>
      </c>
      <c r="E12">
        <v>3</v>
      </c>
    </row>
    <row r="13" spans="2:5" x14ac:dyDescent="0.2">
      <c r="B13" s="8">
        <v>88.7</v>
      </c>
      <c r="D13" s="101" t="s">
        <v>45</v>
      </c>
      <c r="E13">
        <v>1</v>
      </c>
    </row>
    <row r="14" spans="2:5" x14ac:dyDescent="0.2">
      <c r="B14" s="8">
        <v>75.400000000000006</v>
      </c>
      <c r="D14" s="101" t="s">
        <v>17</v>
      </c>
      <c r="E14">
        <v>95</v>
      </c>
    </row>
    <row r="15" spans="2:5" x14ac:dyDescent="0.2">
      <c r="B15" s="8">
        <v>82.1</v>
      </c>
    </row>
    <row r="16" spans="2:5" x14ac:dyDescent="0.2">
      <c r="B16" s="8">
        <v>87.5</v>
      </c>
    </row>
    <row r="17" spans="2:2" x14ac:dyDescent="0.2">
      <c r="B17" s="8">
        <v>66.900000000000006</v>
      </c>
    </row>
    <row r="18" spans="2:2" x14ac:dyDescent="0.2">
      <c r="B18" s="8">
        <v>71.3</v>
      </c>
    </row>
    <row r="19" spans="2:2" x14ac:dyDescent="0.2">
      <c r="B19" s="8">
        <v>76.8</v>
      </c>
    </row>
    <row r="20" spans="2:2" x14ac:dyDescent="0.2">
      <c r="B20" s="8">
        <v>72.3</v>
      </c>
    </row>
    <row r="21" spans="2:2" x14ac:dyDescent="0.2">
      <c r="B21" s="8">
        <v>72.400000000000006</v>
      </c>
    </row>
    <row r="22" spans="2:2" x14ac:dyDescent="0.2">
      <c r="B22" s="8">
        <v>72</v>
      </c>
    </row>
    <row r="23" spans="2:2" x14ac:dyDescent="0.2">
      <c r="B23" s="8">
        <v>81</v>
      </c>
    </row>
    <row r="24" spans="2:2" x14ac:dyDescent="0.2">
      <c r="B24" s="8">
        <v>96.1</v>
      </c>
    </row>
    <row r="25" spans="2:2" x14ac:dyDescent="0.2">
      <c r="B25" s="8">
        <v>76.7</v>
      </c>
    </row>
    <row r="26" spans="2:2" x14ac:dyDescent="0.2">
      <c r="B26" s="8">
        <v>80.3</v>
      </c>
    </row>
    <row r="27" spans="2:2" x14ac:dyDescent="0.2">
      <c r="B27" s="8">
        <v>77.8</v>
      </c>
    </row>
    <row r="28" spans="2:2" x14ac:dyDescent="0.2">
      <c r="B28" s="8">
        <v>62.6</v>
      </c>
    </row>
    <row r="29" spans="2:2" x14ac:dyDescent="0.2">
      <c r="B29" s="8">
        <v>80.2</v>
      </c>
    </row>
    <row r="30" spans="2:2" x14ac:dyDescent="0.2">
      <c r="B30" s="8">
        <v>79.099999999999994</v>
      </c>
    </row>
    <row r="31" spans="2:2" x14ac:dyDescent="0.2">
      <c r="B31" s="8">
        <v>77.8</v>
      </c>
    </row>
    <row r="32" spans="2:2" x14ac:dyDescent="0.2">
      <c r="B32" s="8">
        <v>75.099999999999994</v>
      </c>
    </row>
    <row r="33" spans="2:2" x14ac:dyDescent="0.2">
      <c r="B33" s="8">
        <v>82.2</v>
      </c>
    </row>
    <row r="34" spans="2:2" x14ac:dyDescent="0.2">
      <c r="B34" s="8">
        <v>70.5</v>
      </c>
    </row>
    <row r="35" spans="2:2" x14ac:dyDescent="0.2">
      <c r="B35" s="8">
        <v>70.8</v>
      </c>
    </row>
    <row r="36" spans="2:2" x14ac:dyDescent="0.2">
      <c r="B36" s="8">
        <v>87.5</v>
      </c>
    </row>
    <row r="37" spans="2:2" x14ac:dyDescent="0.2">
      <c r="B37" s="8">
        <v>79.5</v>
      </c>
    </row>
    <row r="38" spans="2:2" x14ac:dyDescent="0.2">
      <c r="B38" s="8">
        <v>80.8</v>
      </c>
    </row>
    <row r="39" spans="2:2" x14ac:dyDescent="0.2">
      <c r="B39" s="8">
        <v>79.599999999999994</v>
      </c>
    </row>
    <row r="40" spans="2:2" x14ac:dyDescent="0.2">
      <c r="B40" s="8">
        <v>88.9</v>
      </c>
    </row>
    <row r="41" spans="2:2" x14ac:dyDescent="0.2">
      <c r="B41" s="8">
        <v>85.9</v>
      </c>
    </row>
    <row r="42" spans="2:2" x14ac:dyDescent="0.2">
      <c r="B42" s="8">
        <v>82.3</v>
      </c>
    </row>
    <row r="43" spans="2:2" x14ac:dyDescent="0.2">
      <c r="B43" s="8">
        <v>76.7</v>
      </c>
    </row>
    <row r="44" spans="2:2" x14ac:dyDescent="0.2">
      <c r="B44" s="8">
        <v>79.900000000000006</v>
      </c>
    </row>
    <row r="45" spans="2:2" x14ac:dyDescent="0.2">
      <c r="B45" s="8">
        <v>86.2</v>
      </c>
    </row>
    <row r="46" spans="2:2" x14ac:dyDescent="0.2">
      <c r="B46" s="8">
        <v>79.2</v>
      </c>
    </row>
    <row r="47" spans="2:2" x14ac:dyDescent="0.2">
      <c r="B47" s="8">
        <v>83.4</v>
      </c>
    </row>
    <row r="48" spans="2:2" x14ac:dyDescent="0.2">
      <c r="B48" s="8">
        <v>85.2</v>
      </c>
    </row>
    <row r="49" spans="2:2" x14ac:dyDescent="0.2">
      <c r="B49" s="8">
        <v>77.8</v>
      </c>
    </row>
    <row r="50" spans="2:2" x14ac:dyDescent="0.2">
      <c r="B50" s="8">
        <v>80.2</v>
      </c>
    </row>
    <row r="51" spans="2:2" x14ac:dyDescent="0.2">
      <c r="B51" s="8">
        <v>71</v>
      </c>
    </row>
    <row r="52" spans="2:2" x14ac:dyDescent="0.2">
      <c r="B52" s="8">
        <v>87.2</v>
      </c>
    </row>
    <row r="53" spans="2:2" x14ac:dyDescent="0.2">
      <c r="B53" s="8">
        <v>82.9</v>
      </c>
    </row>
    <row r="54" spans="2:2" x14ac:dyDescent="0.2">
      <c r="B54" s="8">
        <v>73.5</v>
      </c>
    </row>
    <row r="55" spans="2:2" x14ac:dyDescent="0.2">
      <c r="B55" s="8">
        <v>74.599999999999994</v>
      </c>
    </row>
    <row r="56" spans="2:2" x14ac:dyDescent="0.2">
      <c r="B56" s="8">
        <v>75.099999999999994</v>
      </c>
    </row>
    <row r="57" spans="2:2" x14ac:dyDescent="0.2">
      <c r="B57" s="8">
        <v>85.1</v>
      </c>
    </row>
    <row r="58" spans="2:2" x14ac:dyDescent="0.2">
      <c r="B58" s="8">
        <v>74.900000000000006</v>
      </c>
    </row>
    <row r="59" spans="2:2" x14ac:dyDescent="0.2">
      <c r="B59" s="8">
        <v>84.6</v>
      </c>
    </row>
    <row r="60" spans="2:2" x14ac:dyDescent="0.2">
      <c r="B60" s="8">
        <v>81.7</v>
      </c>
    </row>
    <row r="61" spans="2:2" x14ac:dyDescent="0.2">
      <c r="B61" s="8">
        <v>81.400000000000006</v>
      </c>
    </row>
    <row r="62" spans="2:2" x14ac:dyDescent="0.2">
      <c r="B62" s="8">
        <v>83.8</v>
      </c>
    </row>
    <row r="63" spans="2:2" x14ac:dyDescent="0.2">
      <c r="B63" s="8">
        <v>88.5</v>
      </c>
    </row>
    <row r="64" spans="2:2" x14ac:dyDescent="0.2">
      <c r="B64" s="8">
        <v>84.9</v>
      </c>
    </row>
    <row r="65" spans="2:2" x14ac:dyDescent="0.2">
      <c r="B65" s="8">
        <v>84.3</v>
      </c>
    </row>
    <row r="66" spans="2:2" x14ac:dyDescent="0.2">
      <c r="B66" s="8">
        <v>78.2</v>
      </c>
    </row>
    <row r="67" spans="2:2" x14ac:dyDescent="0.2">
      <c r="B67" s="8">
        <v>80</v>
      </c>
    </row>
    <row r="68" spans="2:2" x14ac:dyDescent="0.2">
      <c r="B68" s="8">
        <v>74.8</v>
      </c>
    </row>
    <row r="69" spans="2:2" x14ac:dyDescent="0.2">
      <c r="B69" s="8">
        <v>78.5</v>
      </c>
    </row>
    <row r="70" spans="2:2" x14ac:dyDescent="0.2">
      <c r="B70" s="8">
        <v>71.8</v>
      </c>
    </row>
    <row r="71" spans="2:2" x14ac:dyDescent="0.2">
      <c r="B71" s="8">
        <v>69.900000000000006</v>
      </c>
    </row>
    <row r="72" spans="2:2" x14ac:dyDescent="0.2">
      <c r="B72" s="8">
        <v>82.7</v>
      </c>
    </row>
    <row r="73" spans="2:2" x14ac:dyDescent="0.2">
      <c r="B73" s="8">
        <v>74</v>
      </c>
    </row>
    <row r="74" spans="2:2" x14ac:dyDescent="0.2">
      <c r="B74" s="8">
        <v>84</v>
      </c>
    </row>
    <row r="75" spans="2:2" x14ac:dyDescent="0.2">
      <c r="B75" s="8">
        <v>84.7</v>
      </c>
    </row>
    <row r="76" spans="2:2" x14ac:dyDescent="0.2">
      <c r="B76" s="8">
        <v>78.2</v>
      </c>
    </row>
    <row r="77" spans="2:2" x14ac:dyDescent="0.2">
      <c r="B77" s="8">
        <v>85</v>
      </c>
    </row>
    <row r="78" spans="2:2" x14ac:dyDescent="0.2">
      <c r="B78" s="8">
        <v>80.099999999999994</v>
      </c>
    </row>
    <row r="79" spans="2:2" x14ac:dyDescent="0.2">
      <c r="B79" s="8">
        <v>85.3</v>
      </c>
    </row>
    <row r="80" spans="2:2" x14ac:dyDescent="0.2">
      <c r="B80" s="8">
        <v>79.7</v>
      </c>
    </row>
    <row r="81" spans="2:2" x14ac:dyDescent="0.2">
      <c r="B81" s="8">
        <v>79.599999999999994</v>
      </c>
    </row>
    <row r="82" spans="2:2" x14ac:dyDescent="0.2">
      <c r="B82" s="8">
        <v>78.900000000000006</v>
      </c>
    </row>
    <row r="83" spans="2:2" x14ac:dyDescent="0.2">
      <c r="B83" s="8">
        <v>78.5</v>
      </c>
    </row>
    <row r="84" spans="2:2" x14ac:dyDescent="0.2">
      <c r="B84" s="8">
        <v>72</v>
      </c>
    </row>
    <row r="85" spans="2:2" x14ac:dyDescent="0.2">
      <c r="B85" s="8">
        <v>74.2</v>
      </c>
    </row>
    <row r="86" spans="2:2" x14ac:dyDescent="0.2">
      <c r="B86" s="8">
        <v>71.7</v>
      </c>
    </row>
    <row r="87" spans="2:2" x14ac:dyDescent="0.2">
      <c r="B87" s="8">
        <v>80.7</v>
      </c>
    </row>
    <row r="88" spans="2:2" x14ac:dyDescent="0.2">
      <c r="B88" s="8">
        <v>84.1</v>
      </c>
    </row>
    <row r="89" spans="2:2" x14ac:dyDescent="0.2">
      <c r="B89" s="8">
        <v>87.4</v>
      </c>
    </row>
    <row r="90" spans="2:2" x14ac:dyDescent="0.2">
      <c r="B90" s="8">
        <v>77.400000000000006</v>
      </c>
    </row>
    <row r="91" spans="2:2" x14ac:dyDescent="0.2">
      <c r="B91" s="8">
        <v>84.7</v>
      </c>
    </row>
    <row r="92" spans="2:2" x14ac:dyDescent="0.2">
      <c r="B92" s="8">
        <v>78.8</v>
      </c>
    </row>
    <row r="93" spans="2:2" x14ac:dyDescent="0.2">
      <c r="B93" s="8">
        <v>92.7</v>
      </c>
    </row>
    <row r="94" spans="2:2" x14ac:dyDescent="0.2">
      <c r="B94" s="8">
        <v>88.8</v>
      </c>
    </row>
    <row r="95" spans="2:2" x14ac:dyDescent="0.2">
      <c r="B95" s="8">
        <v>86.6</v>
      </c>
    </row>
    <row r="96" spans="2:2" x14ac:dyDescent="0.2">
      <c r="B96" s="8">
        <v>77.900000000000006</v>
      </c>
    </row>
    <row r="97" spans="2:2" x14ac:dyDescent="0.2">
      <c r="B97" s="8">
        <v>86.1</v>
      </c>
    </row>
    <row r="98" spans="2:2" x14ac:dyDescent="0.2">
      <c r="B98" s="8">
        <v>89.9</v>
      </c>
    </row>
    <row r="99" spans="2:2" x14ac:dyDescent="0.2">
      <c r="B99" s="8">
        <v>83.1</v>
      </c>
    </row>
    <row r="100" spans="2:2" x14ac:dyDescent="0.2">
      <c r="B100" s="8">
        <v>82.6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FD47F-01CD-4B91-8FD9-7D3A4D2A2CC2}">
  <sheetPr codeName="Sheet7">
    <tabColor theme="4" tint="0.79998168889431442"/>
  </sheetPr>
  <dimension ref="B1:N58"/>
  <sheetViews>
    <sheetView showGridLines="0" workbookViewId="0">
      <selection activeCell="M10" sqref="M10"/>
    </sheetView>
  </sheetViews>
  <sheetFormatPr baseColWidth="10" defaultColWidth="8.83203125" defaultRowHeight="15" x14ac:dyDescent="0.2"/>
  <cols>
    <col min="1" max="1" width="2.83203125" customWidth="1"/>
    <col min="2" max="2" width="16.33203125" bestFit="1" customWidth="1"/>
    <col min="3" max="3" width="13.1640625" bestFit="1" customWidth="1"/>
    <col min="6" max="6" width="14.33203125" customWidth="1"/>
    <col min="8" max="10" width="14.33203125" customWidth="1"/>
    <col min="12" max="14" width="14.33203125" customWidth="1"/>
  </cols>
  <sheetData>
    <row r="1" spans="2:14" ht="25.5" customHeight="1" x14ac:dyDescent="0.25">
      <c r="B1" s="18" t="s">
        <v>120</v>
      </c>
    </row>
    <row r="2" spans="2:14" ht="15" customHeight="1" x14ac:dyDescent="0.2">
      <c r="B2" s="30" t="s">
        <v>288</v>
      </c>
    </row>
    <row r="3" spans="2:14" ht="18" customHeight="1" x14ac:dyDescent="0.2"/>
    <row r="4" spans="2:14" x14ac:dyDescent="0.2">
      <c r="E4" s="3" t="s">
        <v>54</v>
      </c>
      <c r="H4" s="3" t="s">
        <v>54</v>
      </c>
      <c r="L4" s="3" t="s">
        <v>53</v>
      </c>
    </row>
    <row r="5" spans="2:14" x14ac:dyDescent="0.2">
      <c r="B5" s="7" t="s">
        <v>21</v>
      </c>
      <c r="C5" s="7" t="s">
        <v>35</v>
      </c>
      <c r="E5" s="115" t="s">
        <v>51</v>
      </c>
      <c r="F5" s="115"/>
      <c r="H5" s="115" t="s">
        <v>57</v>
      </c>
      <c r="I5" s="115"/>
      <c r="J5" s="115"/>
      <c r="L5" s="116" t="s">
        <v>57</v>
      </c>
      <c r="M5" s="116"/>
      <c r="N5" s="116"/>
    </row>
    <row r="6" spans="2:14" x14ac:dyDescent="0.2">
      <c r="B6" s="8" t="s">
        <v>25</v>
      </c>
      <c r="C6" s="12">
        <v>111000</v>
      </c>
      <c r="E6" s="20" t="s">
        <v>46</v>
      </c>
      <c r="F6" s="69">
        <f>AVERAGE(C6:C58)</f>
        <v>119386.7924528302</v>
      </c>
      <c r="I6" s="17" t="s">
        <v>27</v>
      </c>
      <c r="J6" s="17" t="s">
        <v>25</v>
      </c>
      <c r="M6" s="17" t="s">
        <v>27</v>
      </c>
      <c r="N6" s="17" t="s">
        <v>25</v>
      </c>
    </row>
    <row r="7" spans="2:14" x14ac:dyDescent="0.2">
      <c r="B7" s="8" t="s">
        <v>27</v>
      </c>
      <c r="C7" s="12">
        <v>107000</v>
      </c>
      <c r="E7" s="20" t="s">
        <v>47</v>
      </c>
      <c r="F7" s="69">
        <f>MEDIAN(C6:C58)</f>
        <v>104500</v>
      </c>
      <c r="H7" s="20" t="s">
        <v>46</v>
      </c>
      <c r="I7" s="69">
        <f>AVERAGEIFS($C$6:$C$58,$B$6:$B$58,I6)</f>
        <v>124647.05882352941</v>
      </c>
      <c r="J7" s="69">
        <f>AVERAGEIFS($C$6:$C$58,$B$6:$B$58,J6)</f>
        <v>116902.77777777778</v>
      </c>
      <c r="L7" s="20" t="s">
        <v>46</v>
      </c>
      <c r="M7" s="69" cm="1">
        <f t="array" ref="M7:N7">AVERAGEIFS(C6:C58,B6:B58,M6:N6)</f>
        <v>124647.05882352941</v>
      </c>
      <c r="N7" s="69">
        <v>116902.77777777778</v>
      </c>
    </row>
    <row r="8" spans="2:14" x14ac:dyDescent="0.2">
      <c r="B8" s="8" t="s">
        <v>25</v>
      </c>
      <c r="C8" s="12">
        <v>109000</v>
      </c>
      <c r="E8" s="20" t="s">
        <v>48</v>
      </c>
      <c r="F8" s="69">
        <f>_xlfn.MODE.SNGL(C6:C58)</f>
        <v>103500</v>
      </c>
      <c r="H8" s="20" t="s">
        <v>47</v>
      </c>
      <c r="I8" s="69" cm="1">
        <f t="array" ref="I8">MEDIAN(IF($B$6:$B$58=I6,$C$6:$C$58))</f>
        <v>103500</v>
      </c>
      <c r="J8" s="69" cm="1">
        <f t="array" ref="J8">MEDIAN(IF($B$6:$B$58=J6,$C$6:$C$58))</f>
        <v>105750</v>
      </c>
      <c r="L8" s="20" t="s">
        <v>47</v>
      </c>
      <c r="M8" s="69" cm="1">
        <f t="array" ref="M8">MEDIAN(_xlfn._xlws.FILTER($C$6:$C$58,$B$6:$B$58=M6))</f>
        <v>103500</v>
      </c>
      <c r="N8" s="69" cm="1">
        <f t="array" ref="N8">MEDIAN(_xlfn._xlws.FILTER($C$6:$C$58,$B$6:$B$58=N6))</f>
        <v>105750</v>
      </c>
    </row>
    <row r="9" spans="2:14" x14ac:dyDescent="0.2">
      <c r="B9" s="8" t="s">
        <v>25</v>
      </c>
      <c r="C9" s="12">
        <v>148000</v>
      </c>
      <c r="H9" s="20" t="s">
        <v>48</v>
      </c>
      <c r="I9" s="69" cm="1">
        <f t="array" ref="I9">MODE(IF(B6:$B$58=I6,$C$6:$C$58))</f>
        <v>99000</v>
      </c>
      <c r="J9" s="69" cm="1">
        <f t="array" ref="J9">MODE(IF($B6:C$58=J6,$C$6:$C$58))</f>
        <v>103500</v>
      </c>
      <c r="L9" s="20" t="s">
        <v>50</v>
      </c>
      <c r="M9" s="69" cm="1">
        <f t="array" ref="M9:M12">_xlfn.MODE.MULT(_xlfn._xlws.FILTER($C$6:$C$58,$B$6:$B$58=M6))</f>
        <v>99000</v>
      </c>
      <c r="N9" s="69" cm="1">
        <f t="array" ref="N9">_xlfn.MODE.MULT(_xlfn._xlws.FILTER($C$6:$C$58,$B$6:$B$58=N6))</f>
        <v>103500</v>
      </c>
    </row>
    <row r="10" spans="2:14" x14ac:dyDescent="0.2">
      <c r="B10" s="8" t="s">
        <v>25</v>
      </c>
      <c r="C10" s="12">
        <v>255500</v>
      </c>
      <c r="M10" s="19">
        <v>99500</v>
      </c>
    </row>
    <row r="11" spans="2:14" x14ac:dyDescent="0.2">
      <c r="B11" s="8" t="s">
        <v>25</v>
      </c>
      <c r="C11" s="12">
        <v>103500</v>
      </c>
      <c r="M11" s="19">
        <v>103500</v>
      </c>
    </row>
    <row r="12" spans="2:14" x14ac:dyDescent="0.2">
      <c r="B12" s="8" t="s">
        <v>25</v>
      </c>
      <c r="C12" s="12">
        <v>114500</v>
      </c>
      <c r="M12" s="19">
        <v>124500</v>
      </c>
    </row>
    <row r="13" spans="2:14" x14ac:dyDescent="0.2">
      <c r="B13" s="8" t="s">
        <v>25</v>
      </c>
      <c r="C13" s="12">
        <v>124000</v>
      </c>
    </row>
    <row r="14" spans="2:14" x14ac:dyDescent="0.2">
      <c r="B14" s="8" t="s">
        <v>25</v>
      </c>
      <c r="C14" s="12">
        <v>132500</v>
      </c>
    </row>
    <row r="15" spans="2:14" x14ac:dyDescent="0.2">
      <c r="B15" s="8" t="s">
        <v>25</v>
      </c>
      <c r="C15" s="12">
        <v>99000</v>
      </c>
    </row>
    <row r="16" spans="2:14" x14ac:dyDescent="0.2">
      <c r="B16" s="8" t="s">
        <v>25</v>
      </c>
      <c r="C16" s="12">
        <v>124000</v>
      </c>
    </row>
    <row r="17" spans="2:3" x14ac:dyDescent="0.2">
      <c r="B17" s="8" t="s">
        <v>25</v>
      </c>
      <c r="C17" s="12">
        <v>82000</v>
      </c>
    </row>
    <row r="18" spans="2:3" x14ac:dyDescent="0.2">
      <c r="B18" s="8" t="s">
        <v>25</v>
      </c>
      <c r="C18" s="12">
        <v>185000</v>
      </c>
    </row>
    <row r="19" spans="2:3" x14ac:dyDescent="0.2">
      <c r="B19" s="8" t="s">
        <v>25</v>
      </c>
      <c r="C19" s="12">
        <v>89500</v>
      </c>
    </row>
    <row r="20" spans="2:3" x14ac:dyDescent="0.2">
      <c r="B20" s="8" t="s">
        <v>25</v>
      </c>
      <c r="C20" s="12">
        <v>91500</v>
      </c>
    </row>
    <row r="21" spans="2:3" x14ac:dyDescent="0.2">
      <c r="B21" s="8" t="s">
        <v>25</v>
      </c>
      <c r="C21" s="12">
        <v>113500</v>
      </c>
    </row>
    <row r="22" spans="2:3" x14ac:dyDescent="0.2">
      <c r="B22" s="8" t="s">
        <v>27</v>
      </c>
      <c r="C22" s="12">
        <v>99000</v>
      </c>
    </row>
    <row r="23" spans="2:3" x14ac:dyDescent="0.2">
      <c r="B23" s="8" t="s">
        <v>25</v>
      </c>
      <c r="C23" s="12">
        <v>75500</v>
      </c>
    </row>
    <row r="24" spans="2:3" x14ac:dyDescent="0.2">
      <c r="B24" s="8" t="s">
        <v>27</v>
      </c>
      <c r="C24" s="12">
        <v>86000</v>
      </c>
    </row>
    <row r="25" spans="2:3" x14ac:dyDescent="0.2">
      <c r="B25" s="8" t="s">
        <v>25</v>
      </c>
      <c r="C25" s="12">
        <v>156500</v>
      </c>
    </row>
    <row r="26" spans="2:3" x14ac:dyDescent="0.2">
      <c r="B26" s="8" t="s">
        <v>27</v>
      </c>
      <c r="C26" s="12">
        <v>99500</v>
      </c>
    </row>
    <row r="27" spans="2:3" x14ac:dyDescent="0.2">
      <c r="B27" s="8" t="s">
        <v>27</v>
      </c>
      <c r="C27" s="12">
        <v>148000</v>
      </c>
    </row>
    <row r="28" spans="2:3" x14ac:dyDescent="0.2">
      <c r="B28" s="8" t="s">
        <v>25</v>
      </c>
      <c r="C28" s="12">
        <v>82000</v>
      </c>
    </row>
    <row r="29" spans="2:3" x14ac:dyDescent="0.2">
      <c r="B29" s="8" t="s">
        <v>25</v>
      </c>
      <c r="C29" s="12">
        <v>103500</v>
      </c>
    </row>
    <row r="30" spans="2:3" x14ac:dyDescent="0.2">
      <c r="B30" s="8" t="s">
        <v>25</v>
      </c>
      <c r="C30" s="12">
        <v>205500</v>
      </c>
    </row>
    <row r="31" spans="2:3" x14ac:dyDescent="0.2">
      <c r="B31" s="8" t="s">
        <v>25</v>
      </c>
      <c r="C31" s="12">
        <v>103500</v>
      </c>
    </row>
    <row r="32" spans="2:3" x14ac:dyDescent="0.2">
      <c r="B32" s="8" t="s">
        <v>27</v>
      </c>
      <c r="C32" s="12">
        <v>340000</v>
      </c>
    </row>
    <row r="33" spans="2:3" x14ac:dyDescent="0.2">
      <c r="B33" s="8" t="s">
        <v>27</v>
      </c>
      <c r="C33" s="12">
        <v>103500</v>
      </c>
    </row>
    <row r="34" spans="2:3" x14ac:dyDescent="0.2">
      <c r="B34" s="8" t="s">
        <v>27</v>
      </c>
      <c r="C34" s="12">
        <v>99500</v>
      </c>
    </row>
    <row r="35" spans="2:3" x14ac:dyDescent="0.2">
      <c r="B35" s="8" t="s">
        <v>27</v>
      </c>
      <c r="C35" s="12">
        <v>103000</v>
      </c>
    </row>
    <row r="36" spans="2:3" x14ac:dyDescent="0.2">
      <c r="B36" s="8" t="s">
        <v>25</v>
      </c>
      <c r="C36" s="12">
        <v>103500</v>
      </c>
    </row>
    <row r="37" spans="2:3" x14ac:dyDescent="0.2">
      <c r="B37" s="8" t="s">
        <v>27</v>
      </c>
      <c r="C37" s="12">
        <v>165000</v>
      </c>
    </row>
    <row r="38" spans="2:3" x14ac:dyDescent="0.2">
      <c r="B38" s="8" t="s">
        <v>27</v>
      </c>
      <c r="C38" s="12">
        <v>124500</v>
      </c>
    </row>
    <row r="39" spans="2:3" x14ac:dyDescent="0.2">
      <c r="B39" s="8" t="s">
        <v>27</v>
      </c>
      <c r="C39" s="12">
        <v>103500</v>
      </c>
    </row>
    <row r="40" spans="2:3" x14ac:dyDescent="0.2">
      <c r="B40" s="8" t="s">
        <v>25</v>
      </c>
      <c r="C40" s="12">
        <v>82500</v>
      </c>
    </row>
    <row r="41" spans="2:3" x14ac:dyDescent="0.2">
      <c r="B41" s="8" t="s">
        <v>25</v>
      </c>
      <c r="C41" s="12">
        <v>93000</v>
      </c>
    </row>
    <row r="42" spans="2:3" x14ac:dyDescent="0.2">
      <c r="B42" s="8" t="s">
        <v>25</v>
      </c>
      <c r="C42" s="12">
        <v>168000</v>
      </c>
    </row>
    <row r="43" spans="2:3" x14ac:dyDescent="0.2">
      <c r="B43" s="8" t="s">
        <v>25</v>
      </c>
      <c r="C43" s="12">
        <v>96000</v>
      </c>
    </row>
    <row r="44" spans="2:3" x14ac:dyDescent="0.2">
      <c r="B44" s="8" t="s">
        <v>27</v>
      </c>
      <c r="C44" s="12">
        <v>80000</v>
      </c>
    </row>
    <row r="45" spans="2:3" x14ac:dyDescent="0.2">
      <c r="B45" s="8" t="s">
        <v>27</v>
      </c>
      <c r="C45" s="12">
        <v>124500</v>
      </c>
    </row>
    <row r="46" spans="2:3" x14ac:dyDescent="0.2">
      <c r="B46" s="8" t="s">
        <v>27</v>
      </c>
      <c r="C46" s="12">
        <v>99000</v>
      </c>
    </row>
    <row r="47" spans="2:3" x14ac:dyDescent="0.2">
      <c r="B47" s="8" t="s">
        <v>25</v>
      </c>
      <c r="C47" s="12">
        <v>124000</v>
      </c>
    </row>
    <row r="48" spans="2:3" x14ac:dyDescent="0.2">
      <c r="B48" s="8" t="s">
        <v>25</v>
      </c>
      <c r="C48" s="12">
        <v>91500</v>
      </c>
    </row>
    <row r="49" spans="2:3" x14ac:dyDescent="0.2">
      <c r="B49" s="8" t="s">
        <v>25</v>
      </c>
      <c r="C49" s="12">
        <v>144500</v>
      </c>
    </row>
    <row r="50" spans="2:3" x14ac:dyDescent="0.2">
      <c r="B50" s="8" t="s">
        <v>25</v>
      </c>
      <c r="C50" s="12">
        <v>114500</v>
      </c>
    </row>
    <row r="51" spans="2:3" x14ac:dyDescent="0.2">
      <c r="B51" s="8" t="s">
        <v>25</v>
      </c>
      <c r="C51" s="12">
        <v>104500</v>
      </c>
    </row>
    <row r="52" spans="2:3" x14ac:dyDescent="0.2">
      <c r="B52" s="8" t="s">
        <v>27</v>
      </c>
      <c r="C52" s="12">
        <v>124000</v>
      </c>
    </row>
    <row r="53" spans="2:3" x14ac:dyDescent="0.2">
      <c r="B53" s="8" t="s">
        <v>27</v>
      </c>
      <c r="C53" s="12">
        <v>113000</v>
      </c>
    </row>
    <row r="54" spans="2:3" x14ac:dyDescent="0.2">
      <c r="B54" s="8" t="s">
        <v>25</v>
      </c>
      <c r="C54" s="12">
        <v>78000</v>
      </c>
    </row>
    <row r="55" spans="2:3" x14ac:dyDescent="0.2">
      <c r="B55" s="8" t="s">
        <v>25</v>
      </c>
      <c r="C55" s="12">
        <v>109000</v>
      </c>
    </row>
    <row r="56" spans="2:3" x14ac:dyDescent="0.2">
      <c r="B56" s="8" t="s">
        <v>25</v>
      </c>
      <c r="C56" s="12">
        <v>99500</v>
      </c>
    </row>
    <row r="57" spans="2:3" x14ac:dyDescent="0.2">
      <c r="B57" s="8" t="s">
        <v>25</v>
      </c>
      <c r="C57" s="12">
        <v>107000</v>
      </c>
    </row>
    <row r="58" spans="2:3" x14ac:dyDescent="0.2">
      <c r="B58" s="8" t="s">
        <v>25</v>
      </c>
      <c r="C58" s="12">
        <v>84000</v>
      </c>
    </row>
  </sheetData>
  <mergeCells count="3">
    <mergeCell ref="E5:F5"/>
    <mergeCell ref="H5:J5"/>
    <mergeCell ref="L5:N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AA6FE-89EE-48B0-BC7E-BC9038A93211}">
  <sheetPr codeName="Sheet8">
    <tabColor theme="4" tint="0.79998168889431442"/>
  </sheetPr>
  <dimension ref="B1:E58"/>
  <sheetViews>
    <sheetView showGridLines="0" workbookViewId="0">
      <selection activeCell="E8" sqref="E8"/>
    </sheetView>
  </sheetViews>
  <sheetFormatPr baseColWidth="10" defaultColWidth="8.83203125" defaultRowHeight="15" x14ac:dyDescent="0.2"/>
  <cols>
    <col min="1" max="1" width="2.83203125" customWidth="1"/>
    <col min="2" max="2" width="13.1640625" bestFit="1" customWidth="1"/>
    <col min="5" max="5" width="14.33203125" customWidth="1"/>
  </cols>
  <sheetData>
    <row r="1" spans="2:5" ht="25.5" customHeight="1" x14ac:dyDescent="0.25">
      <c r="B1" s="18" t="s">
        <v>121</v>
      </c>
    </row>
    <row r="2" spans="2:5" ht="15" customHeight="1" x14ac:dyDescent="0.2">
      <c r="B2" s="30" t="s">
        <v>6</v>
      </c>
    </row>
    <row r="3" spans="2:5" ht="18" customHeight="1" x14ac:dyDescent="0.2"/>
    <row r="4" spans="2:5" x14ac:dyDescent="0.2">
      <c r="D4" s="3" t="s">
        <v>54</v>
      </c>
    </row>
    <row r="5" spans="2:5" x14ac:dyDescent="0.2">
      <c r="B5" s="7" t="s">
        <v>35</v>
      </c>
      <c r="D5" s="115" t="s">
        <v>51</v>
      </c>
      <c r="E5" s="115"/>
    </row>
    <row r="6" spans="2:5" x14ac:dyDescent="0.2">
      <c r="B6" s="12">
        <v>111000</v>
      </c>
      <c r="D6" s="20" t="s">
        <v>46</v>
      </c>
      <c r="E6" s="69">
        <f>AVERAGE(B6:B58)</f>
        <v>119386.7924528302</v>
      </c>
    </row>
    <row r="7" spans="2:5" x14ac:dyDescent="0.2">
      <c r="B7" s="12">
        <v>107000</v>
      </c>
      <c r="D7" s="20" t="s">
        <v>47</v>
      </c>
      <c r="E7" s="69">
        <f>MEDIAN(B6:B58)</f>
        <v>104500</v>
      </c>
    </row>
    <row r="8" spans="2:5" x14ac:dyDescent="0.2">
      <c r="B8" s="12">
        <v>109000</v>
      </c>
      <c r="D8" s="20" t="s">
        <v>49</v>
      </c>
      <c r="E8" s="70">
        <f>SKEW(B6:B58)</f>
        <v>2.9324340018176889</v>
      </c>
    </row>
    <row r="9" spans="2:5" x14ac:dyDescent="0.2">
      <c r="B9" s="12">
        <v>148000</v>
      </c>
    </row>
    <row r="10" spans="2:5" x14ac:dyDescent="0.2">
      <c r="B10" s="12">
        <v>255500</v>
      </c>
    </row>
    <row r="11" spans="2:5" x14ac:dyDescent="0.2">
      <c r="B11" s="12">
        <v>103500</v>
      </c>
    </row>
    <row r="12" spans="2:5" x14ac:dyDescent="0.2">
      <c r="B12" s="12">
        <v>114500</v>
      </c>
    </row>
    <row r="13" spans="2:5" x14ac:dyDescent="0.2">
      <c r="B13" s="12">
        <v>124000</v>
      </c>
    </row>
    <row r="14" spans="2:5" x14ac:dyDescent="0.2">
      <c r="B14" s="12">
        <v>132500</v>
      </c>
    </row>
    <row r="15" spans="2:5" x14ac:dyDescent="0.2">
      <c r="B15" s="12">
        <v>99000</v>
      </c>
    </row>
    <row r="16" spans="2:5" x14ac:dyDescent="0.2">
      <c r="B16" s="12">
        <v>124000</v>
      </c>
    </row>
    <row r="17" spans="2:2" x14ac:dyDescent="0.2">
      <c r="B17" s="12">
        <v>82000</v>
      </c>
    </row>
    <row r="18" spans="2:2" x14ac:dyDescent="0.2">
      <c r="B18" s="12">
        <v>185000</v>
      </c>
    </row>
    <row r="19" spans="2:2" x14ac:dyDescent="0.2">
      <c r="B19" s="12">
        <v>89500</v>
      </c>
    </row>
    <row r="20" spans="2:2" x14ac:dyDescent="0.2">
      <c r="B20" s="12">
        <v>91500</v>
      </c>
    </row>
    <row r="21" spans="2:2" x14ac:dyDescent="0.2">
      <c r="B21" s="12">
        <v>113500</v>
      </c>
    </row>
    <row r="22" spans="2:2" x14ac:dyDescent="0.2">
      <c r="B22" s="12">
        <v>99000</v>
      </c>
    </row>
    <row r="23" spans="2:2" x14ac:dyDescent="0.2">
      <c r="B23" s="12">
        <v>75500</v>
      </c>
    </row>
    <row r="24" spans="2:2" x14ac:dyDescent="0.2">
      <c r="B24" s="12">
        <v>86000</v>
      </c>
    </row>
    <row r="25" spans="2:2" x14ac:dyDescent="0.2">
      <c r="B25" s="12">
        <v>156500</v>
      </c>
    </row>
    <row r="26" spans="2:2" x14ac:dyDescent="0.2">
      <c r="B26" s="12">
        <v>99500</v>
      </c>
    </row>
    <row r="27" spans="2:2" x14ac:dyDescent="0.2">
      <c r="B27" s="12">
        <v>148000</v>
      </c>
    </row>
    <row r="28" spans="2:2" x14ac:dyDescent="0.2">
      <c r="B28" s="12">
        <v>82000</v>
      </c>
    </row>
    <row r="29" spans="2:2" x14ac:dyDescent="0.2">
      <c r="B29" s="12">
        <v>103500</v>
      </c>
    </row>
    <row r="30" spans="2:2" x14ac:dyDescent="0.2">
      <c r="B30" s="12">
        <v>205500</v>
      </c>
    </row>
    <row r="31" spans="2:2" x14ac:dyDescent="0.2">
      <c r="B31" s="12">
        <v>103500</v>
      </c>
    </row>
    <row r="32" spans="2:2" x14ac:dyDescent="0.2">
      <c r="B32" s="12">
        <v>340000</v>
      </c>
    </row>
    <row r="33" spans="2:2" x14ac:dyDescent="0.2">
      <c r="B33" s="12">
        <v>103500</v>
      </c>
    </row>
    <row r="34" spans="2:2" x14ac:dyDescent="0.2">
      <c r="B34" s="12">
        <v>99500</v>
      </c>
    </row>
    <row r="35" spans="2:2" x14ac:dyDescent="0.2">
      <c r="B35" s="12">
        <v>103000</v>
      </c>
    </row>
    <row r="36" spans="2:2" x14ac:dyDescent="0.2">
      <c r="B36" s="12">
        <v>103500</v>
      </c>
    </row>
    <row r="37" spans="2:2" x14ac:dyDescent="0.2">
      <c r="B37" s="12">
        <v>165000</v>
      </c>
    </row>
    <row r="38" spans="2:2" x14ac:dyDescent="0.2">
      <c r="B38" s="12">
        <v>124500</v>
      </c>
    </row>
    <row r="39" spans="2:2" x14ac:dyDescent="0.2">
      <c r="B39" s="12">
        <v>103500</v>
      </c>
    </row>
    <row r="40" spans="2:2" x14ac:dyDescent="0.2">
      <c r="B40" s="12">
        <v>82500</v>
      </c>
    </row>
    <row r="41" spans="2:2" x14ac:dyDescent="0.2">
      <c r="B41" s="12">
        <v>93000</v>
      </c>
    </row>
    <row r="42" spans="2:2" x14ac:dyDescent="0.2">
      <c r="B42" s="12">
        <v>168000</v>
      </c>
    </row>
    <row r="43" spans="2:2" x14ac:dyDescent="0.2">
      <c r="B43" s="12">
        <v>96000</v>
      </c>
    </row>
    <row r="44" spans="2:2" x14ac:dyDescent="0.2">
      <c r="B44" s="12">
        <v>80000</v>
      </c>
    </row>
    <row r="45" spans="2:2" x14ac:dyDescent="0.2">
      <c r="B45" s="12">
        <v>124500</v>
      </c>
    </row>
    <row r="46" spans="2:2" x14ac:dyDescent="0.2">
      <c r="B46" s="12">
        <v>99000</v>
      </c>
    </row>
    <row r="47" spans="2:2" x14ac:dyDescent="0.2">
      <c r="B47" s="12">
        <v>124000</v>
      </c>
    </row>
    <row r="48" spans="2:2" x14ac:dyDescent="0.2">
      <c r="B48" s="12">
        <v>91500</v>
      </c>
    </row>
    <row r="49" spans="2:2" x14ac:dyDescent="0.2">
      <c r="B49" s="12">
        <v>144500</v>
      </c>
    </row>
    <row r="50" spans="2:2" x14ac:dyDescent="0.2">
      <c r="B50" s="12">
        <v>114500</v>
      </c>
    </row>
    <row r="51" spans="2:2" x14ac:dyDescent="0.2">
      <c r="B51" s="12">
        <v>104500</v>
      </c>
    </row>
    <row r="52" spans="2:2" x14ac:dyDescent="0.2">
      <c r="B52" s="12">
        <v>124000</v>
      </c>
    </row>
    <row r="53" spans="2:2" x14ac:dyDescent="0.2">
      <c r="B53" s="12">
        <v>113000</v>
      </c>
    </row>
    <row r="54" spans="2:2" x14ac:dyDescent="0.2">
      <c r="B54" s="12">
        <v>78000</v>
      </c>
    </row>
    <row r="55" spans="2:2" x14ac:dyDescent="0.2">
      <c r="B55" s="12">
        <v>109000</v>
      </c>
    </row>
    <row r="56" spans="2:2" x14ac:dyDescent="0.2">
      <c r="B56" s="12">
        <v>99500</v>
      </c>
    </row>
    <row r="57" spans="2:2" x14ac:dyDescent="0.2">
      <c r="B57" s="12">
        <v>107000</v>
      </c>
    </row>
    <row r="58" spans="2:2" x14ac:dyDescent="0.2">
      <c r="B58" s="12">
        <v>84000</v>
      </c>
    </row>
  </sheetData>
  <mergeCells count="1">
    <mergeCell ref="D5:E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E17D6-8455-4676-965E-6611AD4A5D26}">
  <sheetPr codeName="Sheet9">
    <tabColor theme="4" tint="0.59999389629810485"/>
  </sheetPr>
  <dimension ref="B1:K64"/>
  <sheetViews>
    <sheetView showGridLines="0" topLeftCell="A2" workbookViewId="0">
      <selection activeCell="C23" sqref="C23"/>
    </sheetView>
  </sheetViews>
  <sheetFormatPr baseColWidth="10" defaultColWidth="8.83203125" defaultRowHeight="15" x14ac:dyDescent="0.2"/>
  <cols>
    <col min="1" max="1" width="2.83203125" customWidth="1"/>
    <col min="2" max="2" width="19.6640625" customWidth="1"/>
    <col min="3" max="3" width="2.83203125" customWidth="1"/>
    <col min="4" max="4" width="17" bestFit="1" customWidth="1"/>
    <col min="6" max="6" width="10" bestFit="1" customWidth="1"/>
    <col min="7" max="7" width="9.33203125" bestFit="1" customWidth="1"/>
    <col min="8" max="8" width="16" bestFit="1" customWidth="1"/>
    <col min="10" max="10" width="10" bestFit="1" customWidth="1"/>
    <col min="11" max="11" width="9.33203125" bestFit="1" customWidth="1"/>
    <col min="12" max="12" width="22" bestFit="1" customWidth="1"/>
  </cols>
  <sheetData>
    <row r="1" spans="2:11" ht="25.5" customHeight="1" x14ac:dyDescent="0.25">
      <c r="B1" s="18" t="s">
        <v>122</v>
      </c>
    </row>
    <row r="2" spans="2:11" ht="15" customHeight="1" x14ac:dyDescent="0.2">
      <c r="B2" s="30" t="s">
        <v>288</v>
      </c>
    </row>
    <row r="3" spans="2:11" ht="18" customHeight="1" x14ac:dyDescent="0.2"/>
    <row r="5" spans="2:11" x14ac:dyDescent="0.2">
      <c r="B5" s="7" t="s">
        <v>58</v>
      </c>
      <c r="D5" s="7" t="s">
        <v>59</v>
      </c>
      <c r="F5" s="115" t="s">
        <v>60</v>
      </c>
      <c r="G5" s="115"/>
      <c r="H5" s="115"/>
    </row>
    <row r="6" spans="2:11" x14ac:dyDescent="0.2">
      <c r="B6" s="8">
        <v>90.2</v>
      </c>
      <c r="D6" s="8">
        <v>68.7</v>
      </c>
      <c r="G6" s="17" t="s">
        <v>24</v>
      </c>
      <c r="H6" s="17" t="s">
        <v>26</v>
      </c>
    </row>
    <row r="7" spans="2:11" x14ac:dyDescent="0.2">
      <c r="B7" s="8">
        <v>92.8</v>
      </c>
      <c r="D7" s="8">
        <v>80.7</v>
      </c>
      <c r="F7" s="20" t="s">
        <v>18</v>
      </c>
      <c r="G7" s="71">
        <f>COUNT(B6:B41)</f>
        <v>36</v>
      </c>
      <c r="H7" s="71">
        <f>COUNT(D6:D64)</f>
        <v>59</v>
      </c>
    </row>
    <row r="8" spans="2:11" x14ac:dyDescent="0.2">
      <c r="B8" s="8">
        <v>88.7</v>
      </c>
      <c r="D8" s="8">
        <v>74.900000000000006</v>
      </c>
      <c r="F8" s="20" t="s">
        <v>46</v>
      </c>
      <c r="G8" s="72">
        <f>AVERAGE(B6:B41)</f>
        <v>81.327777777777783</v>
      </c>
      <c r="H8" s="72">
        <f>AVERAGE(D6:D64)</f>
        <v>79.462711864406785</v>
      </c>
    </row>
    <row r="9" spans="2:11" x14ac:dyDescent="0.2">
      <c r="B9" s="8">
        <v>87.5</v>
      </c>
      <c r="D9" s="8">
        <v>80.7</v>
      </c>
      <c r="F9" s="20" t="s">
        <v>47</v>
      </c>
      <c r="G9" s="72">
        <f>MEDIAN(B6:B41)</f>
        <v>80.55</v>
      </c>
      <c r="H9" s="72">
        <f>MEDIAN(D6:D64)</f>
        <v>80</v>
      </c>
    </row>
    <row r="10" spans="2:11" x14ac:dyDescent="0.2">
      <c r="B10" s="8">
        <v>71.3</v>
      </c>
      <c r="D10" s="8">
        <v>83.3</v>
      </c>
      <c r="F10" s="20" t="s">
        <v>48</v>
      </c>
      <c r="G10" s="72">
        <f>MODE(B6:B41)</f>
        <v>87.5</v>
      </c>
      <c r="H10" s="72">
        <f>MODE(D6:D64)</f>
        <v>80.7</v>
      </c>
    </row>
    <row r="11" spans="2:11" x14ac:dyDescent="0.2">
      <c r="B11" s="8">
        <v>72.3</v>
      </c>
      <c r="D11" s="8">
        <v>75.400000000000006</v>
      </c>
      <c r="F11" s="20" t="s">
        <v>49</v>
      </c>
      <c r="G11" s="70">
        <f>SKEW(B6:B41)</f>
        <v>0.28816497815781422</v>
      </c>
      <c r="H11" s="70">
        <f>SKEW(D6:D64)</f>
        <v>-0.60601796987265744</v>
      </c>
    </row>
    <row r="12" spans="2:11" x14ac:dyDescent="0.2">
      <c r="B12" s="8">
        <v>96.1</v>
      </c>
      <c r="D12" s="8">
        <v>82.1</v>
      </c>
    </row>
    <row r="13" spans="2:11" x14ac:dyDescent="0.2">
      <c r="B13" s="8">
        <v>80.3</v>
      </c>
      <c r="D13" s="8">
        <v>66.900000000000006</v>
      </c>
    </row>
    <row r="14" spans="2:11" x14ac:dyDescent="0.2">
      <c r="B14" s="8">
        <v>79.099999999999994</v>
      </c>
      <c r="D14" s="8">
        <v>76.8</v>
      </c>
    </row>
    <row r="15" spans="2:11" x14ac:dyDescent="0.2">
      <c r="B15" s="8">
        <v>87.5</v>
      </c>
      <c r="D15" s="8">
        <v>72.400000000000006</v>
      </c>
      <c r="F15" s="9" t="s">
        <v>99</v>
      </c>
      <c r="G15" t="s">
        <v>15</v>
      </c>
      <c r="J15" s="9" t="s">
        <v>99</v>
      </c>
      <c r="K15" t="s">
        <v>15</v>
      </c>
    </row>
    <row r="16" spans="2:11" x14ac:dyDescent="0.2">
      <c r="B16" s="8">
        <v>80.8</v>
      </c>
      <c r="D16" s="8">
        <v>72</v>
      </c>
      <c r="F16" s="101" t="s">
        <v>334</v>
      </c>
      <c r="J16" s="101" t="s">
        <v>334</v>
      </c>
    </row>
    <row r="17" spans="2:11" x14ac:dyDescent="0.2">
      <c r="B17" s="8">
        <v>88.9</v>
      </c>
      <c r="D17" s="8">
        <v>81</v>
      </c>
      <c r="F17" s="101" t="s">
        <v>38</v>
      </c>
      <c r="J17" s="101" t="s">
        <v>38</v>
      </c>
      <c r="K17">
        <v>1</v>
      </c>
    </row>
    <row r="18" spans="2:11" x14ac:dyDescent="0.2">
      <c r="B18" s="8">
        <v>82.3</v>
      </c>
      <c r="D18" s="8">
        <v>76.7</v>
      </c>
      <c r="F18" s="101" t="s">
        <v>39</v>
      </c>
      <c r="J18" s="101" t="s">
        <v>39</v>
      </c>
      <c r="K18">
        <v>3</v>
      </c>
    </row>
    <row r="19" spans="2:11" x14ac:dyDescent="0.2">
      <c r="B19" s="8">
        <v>83.4</v>
      </c>
      <c r="D19" s="8">
        <v>77.8</v>
      </c>
      <c r="F19" s="101" t="s">
        <v>40</v>
      </c>
      <c r="G19">
        <v>8</v>
      </c>
      <c r="J19" s="101" t="s">
        <v>40</v>
      </c>
      <c r="K19">
        <v>9</v>
      </c>
    </row>
    <row r="20" spans="2:11" x14ac:dyDescent="0.2">
      <c r="B20" s="8">
        <v>77.8</v>
      </c>
      <c r="D20" s="8">
        <v>62.6</v>
      </c>
      <c r="F20" s="101" t="s">
        <v>41</v>
      </c>
      <c r="G20">
        <v>8</v>
      </c>
      <c r="J20" s="101" t="s">
        <v>41</v>
      </c>
      <c r="K20">
        <v>16</v>
      </c>
    </row>
    <row r="21" spans="2:11" x14ac:dyDescent="0.2">
      <c r="B21" s="8">
        <v>71</v>
      </c>
      <c r="D21" s="8">
        <v>80.2</v>
      </c>
      <c r="F21" s="101" t="s">
        <v>42</v>
      </c>
      <c r="G21">
        <v>10</v>
      </c>
      <c r="J21" s="101" t="s">
        <v>42</v>
      </c>
      <c r="K21">
        <v>19</v>
      </c>
    </row>
    <row r="22" spans="2:11" x14ac:dyDescent="0.2">
      <c r="B22" s="8">
        <v>87.2</v>
      </c>
      <c r="D22" s="8">
        <v>77.8</v>
      </c>
      <c r="F22" s="101" t="s">
        <v>43</v>
      </c>
      <c r="G22">
        <v>6</v>
      </c>
      <c r="J22" s="101" t="s">
        <v>43</v>
      </c>
      <c r="K22">
        <v>11</v>
      </c>
    </row>
    <row r="23" spans="2:11" x14ac:dyDescent="0.2">
      <c r="B23" s="8">
        <v>82.9</v>
      </c>
      <c r="D23" s="8">
        <v>75.099999999999994</v>
      </c>
      <c r="F23" s="101" t="s">
        <v>44</v>
      </c>
      <c r="G23">
        <v>3</v>
      </c>
      <c r="J23" s="101" t="s">
        <v>44</v>
      </c>
    </row>
    <row r="24" spans="2:11" x14ac:dyDescent="0.2">
      <c r="B24" s="8">
        <v>75.099999999999994</v>
      </c>
      <c r="D24" s="8">
        <v>82.2</v>
      </c>
      <c r="F24" s="101" t="s">
        <v>45</v>
      </c>
      <c r="G24">
        <v>1</v>
      </c>
      <c r="J24" s="101" t="s">
        <v>45</v>
      </c>
    </row>
    <row r="25" spans="2:11" x14ac:dyDescent="0.2">
      <c r="B25" s="8">
        <v>74.900000000000006</v>
      </c>
      <c r="D25" s="8">
        <v>70.5</v>
      </c>
      <c r="F25" s="101" t="s">
        <v>335</v>
      </c>
      <c r="J25" s="101" t="s">
        <v>335</v>
      </c>
    </row>
    <row r="26" spans="2:11" x14ac:dyDescent="0.2">
      <c r="B26" s="8">
        <v>81.7</v>
      </c>
      <c r="D26" s="8">
        <v>70.8</v>
      </c>
      <c r="F26" s="101" t="s">
        <v>17</v>
      </c>
      <c r="G26">
        <v>36</v>
      </c>
      <c r="J26" s="101" t="s">
        <v>17</v>
      </c>
      <c r="K26">
        <v>59</v>
      </c>
    </row>
    <row r="27" spans="2:11" x14ac:dyDescent="0.2">
      <c r="B27" s="8">
        <v>83.8</v>
      </c>
      <c r="D27" s="8">
        <v>79.5</v>
      </c>
    </row>
    <row r="28" spans="2:11" x14ac:dyDescent="0.2">
      <c r="B28" s="8">
        <v>74.8</v>
      </c>
      <c r="D28" s="8">
        <v>79.599999999999994</v>
      </c>
    </row>
    <row r="29" spans="2:11" x14ac:dyDescent="0.2">
      <c r="B29" s="8">
        <v>82.7</v>
      </c>
      <c r="D29" s="8">
        <v>85.9</v>
      </c>
    </row>
    <row r="30" spans="2:11" x14ac:dyDescent="0.2">
      <c r="B30" s="8">
        <v>84</v>
      </c>
      <c r="D30" s="8">
        <v>76.7</v>
      </c>
    </row>
    <row r="31" spans="2:11" x14ac:dyDescent="0.2">
      <c r="B31" s="8">
        <v>80.099999999999994</v>
      </c>
      <c r="D31" s="8">
        <v>79.900000000000006</v>
      </c>
    </row>
    <row r="32" spans="2:11" x14ac:dyDescent="0.2">
      <c r="B32" s="8">
        <v>79.599999999999994</v>
      </c>
      <c r="D32" s="8">
        <v>86.2</v>
      </c>
    </row>
    <row r="33" spans="2:4" x14ac:dyDescent="0.2">
      <c r="B33" s="8">
        <v>78.900000000000006</v>
      </c>
      <c r="D33" s="8">
        <v>79.2</v>
      </c>
    </row>
    <row r="34" spans="2:4" x14ac:dyDescent="0.2">
      <c r="B34" s="8">
        <v>72</v>
      </c>
      <c r="D34" s="8">
        <v>85.2</v>
      </c>
    </row>
    <row r="35" spans="2:4" x14ac:dyDescent="0.2">
      <c r="B35" s="8">
        <v>74.2</v>
      </c>
      <c r="D35" s="8">
        <v>80.2</v>
      </c>
    </row>
    <row r="36" spans="2:4" x14ac:dyDescent="0.2">
      <c r="B36" s="8">
        <v>71.7</v>
      </c>
      <c r="D36" s="8">
        <v>73.5</v>
      </c>
    </row>
    <row r="37" spans="2:4" x14ac:dyDescent="0.2">
      <c r="B37" s="8">
        <v>87.4</v>
      </c>
      <c r="D37" s="8">
        <v>74.599999999999994</v>
      </c>
    </row>
    <row r="38" spans="2:4" x14ac:dyDescent="0.2">
      <c r="B38" s="8">
        <v>77.400000000000006</v>
      </c>
      <c r="D38" s="8">
        <v>85.1</v>
      </c>
    </row>
    <row r="39" spans="2:4" x14ac:dyDescent="0.2">
      <c r="B39" s="8">
        <v>78.8</v>
      </c>
      <c r="D39" s="8">
        <v>84.6</v>
      </c>
    </row>
    <row r="40" spans="2:4" x14ac:dyDescent="0.2">
      <c r="B40" s="8">
        <v>92.7</v>
      </c>
      <c r="D40" s="8">
        <v>81.400000000000006</v>
      </c>
    </row>
    <row r="41" spans="2:4" x14ac:dyDescent="0.2">
      <c r="B41" s="8">
        <v>77.900000000000006</v>
      </c>
      <c r="D41" s="8">
        <v>88.5</v>
      </c>
    </row>
    <row r="42" spans="2:4" x14ac:dyDescent="0.2">
      <c r="D42" s="8">
        <v>84.9</v>
      </c>
    </row>
    <row r="43" spans="2:4" x14ac:dyDescent="0.2">
      <c r="D43" s="8">
        <v>84.3</v>
      </c>
    </row>
    <row r="44" spans="2:4" x14ac:dyDescent="0.2">
      <c r="D44" s="8">
        <v>78.2</v>
      </c>
    </row>
    <row r="45" spans="2:4" x14ac:dyDescent="0.2">
      <c r="D45" s="8">
        <v>80</v>
      </c>
    </row>
    <row r="46" spans="2:4" x14ac:dyDescent="0.2">
      <c r="D46" s="8">
        <v>78.5</v>
      </c>
    </row>
    <row r="47" spans="2:4" x14ac:dyDescent="0.2">
      <c r="D47" s="8">
        <v>71.8</v>
      </c>
    </row>
    <row r="48" spans="2:4" x14ac:dyDescent="0.2">
      <c r="D48" s="8">
        <v>69.900000000000006</v>
      </c>
    </row>
    <row r="49" spans="4:4" x14ac:dyDescent="0.2">
      <c r="D49" s="8">
        <v>74</v>
      </c>
    </row>
    <row r="50" spans="4:4" x14ac:dyDescent="0.2">
      <c r="D50" s="8">
        <v>84.7</v>
      </c>
    </row>
    <row r="51" spans="4:4" x14ac:dyDescent="0.2">
      <c r="D51" s="8">
        <v>78.2</v>
      </c>
    </row>
    <row r="52" spans="4:4" x14ac:dyDescent="0.2">
      <c r="D52" s="8">
        <v>85</v>
      </c>
    </row>
    <row r="53" spans="4:4" x14ac:dyDescent="0.2">
      <c r="D53" s="8">
        <v>85.3</v>
      </c>
    </row>
    <row r="54" spans="4:4" x14ac:dyDescent="0.2">
      <c r="D54" s="8">
        <v>79.7</v>
      </c>
    </row>
    <row r="55" spans="4:4" x14ac:dyDescent="0.2">
      <c r="D55" s="8">
        <v>78.5</v>
      </c>
    </row>
    <row r="56" spans="4:4" x14ac:dyDescent="0.2">
      <c r="D56" s="8">
        <v>80.7</v>
      </c>
    </row>
    <row r="57" spans="4:4" x14ac:dyDescent="0.2">
      <c r="D57" s="8">
        <v>84.1</v>
      </c>
    </row>
    <row r="58" spans="4:4" x14ac:dyDescent="0.2">
      <c r="D58" s="8">
        <v>84.7</v>
      </c>
    </row>
    <row r="59" spans="4:4" x14ac:dyDescent="0.2">
      <c r="D59" s="8">
        <v>88.8</v>
      </c>
    </row>
    <row r="60" spans="4:4" x14ac:dyDescent="0.2">
      <c r="D60" s="8">
        <v>86.6</v>
      </c>
    </row>
    <row r="61" spans="4:4" x14ac:dyDescent="0.2">
      <c r="D61" s="8">
        <v>86.1</v>
      </c>
    </row>
    <row r="62" spans="4:4" x14ac:dyDescent="0.2">
      <c r="D62" s="8">
        <v>89.9</v>
      </c>
    </row>
    <row r="63" spans="4:4" x14ac:dyDescent="0.2">
      <c r="D63" s="8">
        <v>83.1</v>
      </c>
    </row>
    <row r="64" spans="4:4" x14ac:dyDescent="0.2">
      <c r="D64" s="8">
        <v>82.6</v>
      </c>
    </row>
  </sheetData>
  <mergeCells count="1">
    <mergeCell ref="F5:H5"/>
  </mergeCells>
  <pageMargins left="0.7" right="0.7" top="0.75" bottom="0.75" header="0.3" footer="0.3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BDBF6-A26D-42E2-A54F-6D85C0DB9A49}">
  <sheetPr codeName="Sheet10">
    <tabColor theme="4" tint="0.79998168889431442"/>
  </sheetPr>
  <dimension ref="B1:G100"/>
  <sheetViews>
    <sheetView showGridLines="0" topLeftCell="B1" workbookViewId="0">
      <selection activeCell="G8" sqref="G8"/>
    </sheetView>
  </sheetViews>
  <sheetFormatPr baseColWidth="10" defaultColWidth="8.83203125" defaultRowHeight="15" x14ac:dyDescent="0.2"/>
  <cols>
    <col min="1" max="1" width="2.83203125" customWidth="1"/>
    <col min="2" max="2" width="21.5" bestFit="1" customWidth="1"/>
    <col min="3" max="3" width="19.83203125" bestFit="1" customWidth="1"/>
  </cols>
  <sheetData>
    <row r="1" spans="2:7" ht="25.5" customHeight="1" x14ac:dyDescent="0.25">
      <c r="B1" s="18" t="s">
        <v>123</v>
      </c>
    </row>
    <row r="2" spans="2:7" ht="15" customHeight="1" x14ac:dyDescent="0.2">
      <c r="B2" s="30" t="s">
        <v>7</v>
      </c>
    </row>
    <row r="3" spans="2:7" ht="18" customHeight="1" x14ac:dyDescent="0.2"/>
    <row r="4" spans="2:7" x14ac:dyDescent="0.2">
      <c r="E4" s="3" t="s">
        <v>54</v>
      </c>
    </row>
    <row r="5" spans="2:7" x14ac:dyDescent="0.2">
      <c r="B5" s="7" t="s">
        <v>22</v>
      </c>
      <c r="C5" s="7" t="s">
        <v>23</v>
      </c>
      <c r="E5" s="115" t="s">
        <v>64</v>
      </c>
      <c r="F5" s="115"/>
      <c r="G5" s="115"/>
    </row>
    <row r="6" spans="2:7" x14ac:dyDescent="0.2">
      <c r="B6" s="8">
        <v>252</v>
      </c>
      <c r="C6" s="8">
        <v>276</v>
      </c>
      <c r="F6" s="17" t="s">
        <v>61</v>
      </c>
      <c r="G6" s="17" t="s">
        <v>62</v>
      </c>
    </row>
    <row r="7" spans="2:7" x14ac:dyDescent="0.2">
      <c r="B7" s="8">
        <v>423</v>
      </c>
      <c r="C7" s="8">
        <v>410</v>
      </c>
      <c r="E7" s="20" t="s">
        <v>33</v>
      </c>
      <c r="F7" s="71">
        <f>MIN(B6:B100)</f>
        <v>62</v>
      </c>
      <c r="G7" s="71">
        <f>MIN(C6:C100)</f>
        <v>102</v>
      </c>
    </row>
    <row r="8" spans="2:7" x14ac:dyDescent="0.2">
      <c r="B8" s="8">
        <v>101</v>
      </c>
      <c r="C8" s="8">
        <v>119</v>
      </c>
      <c r="E8" s="20" t="s">
        <v>32</v>
      </c>
      <c r="F8" s="71">
        <f>MAX(B6:B100)</f>
        <v>423</v>
      </c>
      <c r="G8" s="71">
        <f>MAX(C6:C100)</f>
        <v>481</v>
      </c>
    </row>
    <row r="9" spans="2:7" x14ac:dyDescent="0.2">
      <c r="B9" s="8">
        <v>288</v>
      </c>
      <c r="C9" s="8">
        <v>334</v>
      </c>
      <c r="E9" s="20" t="s">
        <v>63</v>
      </c>
      <c r="F9" s="71">
        <f>F8-F7</f>
        <v>361</v>
      </c>
      <c r="G9" s="71">
        <f>G8-G7</f>
        <v>379</v>
      </c>
    </row>
    <row r="10" spans="2:7" x14ac:dyDescent="0.2">
      <c r="B10" s="8">
        <v>248</v>
      </c>
      <c r="C10" s="8">
        <v>252</v>
      </c>
    </row>
    <row r="11" spans="2:7" x14ac:dyDescent="0.2">
      <c r="B11" s="8">
        <v>145</v>
      </c>
      <c r="C11" s="8">
        <v>209</v>
      </c>
    </row>
    <row r="12" spans="2:7" x14ac:dyDescent="0.2">
      <c r="B12" s="8">
        <v>401</v>
      </c>
      <c r="C12" s="8">
        <v>462</v>
      </c>
    </row>
    <row r="13" spans="2:7" x14ac:dyDescent="0.2">
      <c r="B13" s="8">
        <v>287</v>
      </c>
      <c r="C13" s="8">
        <v>342</v>
      </c>
    </row>
    <row r="14" spans="2:7" x14ac:dyDescent="0.2">
      <c r="B14" s="8">
        <v>275</v>
      </c>
      <c r="C14" s="8">
        <v>347</v>
      </c>
    </row>
    <row r="15" spans="2:7" x14ac:dyDescent="0.2">
      <c r="B15" s="8">
        <v>254</v>
      </c>
      <c r="C15" s="8">
        <v>313</v>
      </c>
    </row>
    <row r="16" spans="2:7" x14ac:dyDescent="0.2">
      <c r="B16" s="8">
        <v>182</v>
      </c>
      <c r="C16" s="8">
        <v>232</v>
      </c>
    </row>
    <row r="17" spans="2:3" x14ac:dyDescent="0.2">
      <c r="B17" s="8">
        <v>117</v>
      </c>
      <c r="C17" s="8">
        <v>163</v>
      </c>
    </row>
    <row r="18" spans="2:3" x14ac:dyDescent="0.2">
      <c r="B18" s="8">
        <v>130</v>
      </c>
      <c r="C18" s="8">
        <v>119</v>
      </c>
    </row>
    <row r="19" spans="2:3" x14ac:dyDescent="0.2">
      <c r="B19" s="8">
        <v>219</v>
      </c>
      <c r="C19" s="8">
        <v>304</v>
      </c>
    </row>
    <row r="20" spans="2:3" x14ac:dyDescent="0.2">
      <c r="B20" s="8">
        <v>152</v>
      </c>
      <c r="C20" s="8">
        <v>211</v>
      </c>
    </row>
    <row r="21" spans="2:3" x14ac:dyDescent="0.2">
      <c r="B21" s="8">
        <v>228</v>
      </c>
      <c r="C21" s="8">
        <v>286</v>
      </c>
    </row>
    <row r="22" spans="2:3" x14ac:dyDescent="0.2">
      <c r="B22" s="8">
        <v>62</v>
      </c>
      <c r="C22" s="8">
        <v>122</v>
      </c>
    </row>
    <row r="23" spans="2:3" x14ac:dyDescent="0.2">
      <c r="B23" s="8">
        <v>393</v>
      </c>
      <c r="C23" s="8">
        <v>443</v>
      </c>
    </row>
    <row r="24" spans="2:3" x14ac:dyDescent="0.2">
      <c r="B24" s="8">
        <v>277</v>
      </c>
      <c r="C24" s="8">
        <v>366</v>
      </c>
    </row>
    <row r="25" spans="2:3" x14ac:dyDescent="0.2">
      <c r="B25" s="8">
        <v>206</v>
      </c>
      <c r="C25" s="8">
        <v>244</v>
      </c>
    </row>
    <row r="26" spans="2:3" x14ac:dyDescent="0.2">
      <c r="B26" s="8">
        <v>229</v>
      </c>
      <c r="C26" s="8">
        <v>241</v>
      </c>
    </row>
    <row r="27" spans="2:3" x14ac:dyDescent="0.2">
      <c r="B27" s="8">
        <v>182</v>
      </c>
      <c r="C27" s="8">
        <v>237</v>
      </c>
    </row>
    <row r="28" spans="2:3" x14ac:dyDescent="0.2">
      <c r="B28" s="8">
        <v>98</v>
      </c>
      <c r="C28" s="8">
        <v>122</v>
      </c>
    </row>
    <row r="29" spans="2:3" x14ac:dyDescent="0.2">
      <c r="B29" s="8">
        <v>125</v>
      </c>
      <c r="C29" s="8">
        <v>129</v>
      </c>
    </row>
    <row r="30" spans="2:3" x14ac:dyDescent="0.2">
      <c r="B30" s="8">
        <v>164</v>
      </c>
      <c r="C30" s="8">
        <v>236</v>
      </c>
    </row>
    <row r="31" spans="2:3" x14ac:dyDescent="0.2">
      <c r="B31" s="8">
        <v>186</v>
      </c>
      <c r="C31" s="8">
        <v>251</v>
      </c>
    </row>
    <row r="32" spans="2:3" x14ac:dyDescent="0.2">
      <c r="B32" s="8">
        <v>235</v>
      </c>
      <c r="C32" s="8">
        <v>283</v>
      </c>
    </row>
    <row r="33" spans="2:3" x14ac:dyDescent="0.2">
      <c r="B33" s="8">
        <v>184</v>
      </c>
      <c r="C33" s="8">
        <v>225</v>
      </c>
    </row>
    <row r="34" spans="2:3" x14ac:dyDescent="0.2">
      <c r="B34" s="8">
        <v>76</v>
      </c>
      <c r="C34" s="8">
        <v>102</v>
      </c>
    </row>
    <row r="35" spans="2:3" x14ac:dyDescent="0.2">
      <c r="B35" s="8">
        <v>126</v>
      </c>
      <c r="C35" s="8">
        <v>180</v>
      </c>
    </row>
    <row r="36" spans="2:3" x14ac:dyDescent="0.2">
      <c r="B36" s="8">
        <v>183</v>
      </c>
      <c r="C36" s="8">
        <v>247</v>
      </c>
    </row>
    <row r="37" spans="2:3" x14ac:dyDescent="0.2">
      <c r="B37" s="8">
        <v>242</v>
      </c>
      <c r="C37" s="8">
        <v>343</v>
      </c>
    </row>
    <row r="38" spans="2:3" x14ac:dyDescent="0.2">
      <c r="B38" s="8">
        <v>207</v>
      </c>
      <c r="C38" s="8">
        <v>283</v>
      </c>
    </row>
    <row r="39" spans="2:3" x14ac:dyDescent="0.2">
      <c r="B39" s="8">
        <v>181</v>
      </c>
      <c r="C39" s="8">
        <v>253</v>
      </c>
    </row>
    <row r="40" spans="2:3" x14ac:dyDescent="0.2">
      <c r="B40" s="8">
        <v>239</v>
      </c>
      <c r="C40" s="8">
        <v>263</v>
      </c>
    </row>
    <row r="41" spans="2:3" x14ac:dyDescent="0.2">
      <c r="B41" s="8">
        <v>216</v>
      </c>
      <c r="C41" s="8">
        <v>291</v>
      </c>
    </row>
    <row r="42" spans="2:3" x14ac:dyDescent="0.2">
      <c r="B42" s="8">
        <v>289</v>
      </c>
      <c r="C42" s="8">
        <v>368</v>
      </c>
    </row>
    <row r="43" spans="2:3" x14ac:dyDescent="0.2">
      <c r="B43" s="8">
        <v>213</v>
      </c>
      <c r="C43" s="8">
        <v>206</v>
      </c>
    </row>
    <row r="44" spans="2:3" x14ac:dyDescent="0.2">
      <c r="B44" s="8">
        <v>209</v>
      </c>
      <c r="C44" s="8">
        <v>231</v>
      </c>
    </row>
    <row r="45" spans="2:3" x14ac:dyDescent="0.2">
      <c r="B45" s="8">
        <v>376</v>
      </c>
      <c r="C45" s="8">
        <v>389</v>
      </c>
    </row>
    <row r="46" spans="2:3" x14ac:dyDescent="0.2">
      <c r="B46" s="8">
        <v>332</v>
      </c>
      <c r="C46" s="8">
        <v>396</v>
      </c>
    </row>
    <row r="47" spans="2:3" x14ac:dyDescent="0.2">
      <c r="B47" s="8">
        <v>249</v>
      </c>
      <c r="C47" s="8">
        <v>339</v>
      </c>
    </row>
    <row r="48" spans="2:3" x14ac:dyDescent="0.2">
      <c r="B48" s="8">
        <v>228</v>
      </c>
      <c r="C48" s="8">
        <v>286</v>
      </c>
    </row>
    <row r="49" spans="2:3" x14ac:dyDescent="0.2">
      <c r="B49" s="8">
        <v>124</v>
      </c>
      <c r="C49" s="8">
        <v>146</v>
      </c>
    </row>
    <row r="50" spans="2:3" x14ac:dyDescent="0.2">
      <c r="B50" s="8">
        <v>194</v>
      </c>
      <c r="C50" s="8">
        <v>315</v>
      </c>
    </row>
    <row r="51" spans="2:3" x14ac:dyDescent="0.2">
      <c r="B51" s="8">
        <v>157</v>
      </c>
      <c r="C51" s="8">
        <v>183</v>
      </c>
    </row>
    <row r="52" spans="2:3" x14ac:dyDescent="0.2">
      <c r="B52" s="8">
        <v>402</v>
      </c>
      <c r="C52" s="8">
        <v>481</v>
      </c>
    </row>
    <row r="53" spans="2:3" x14ac:dyDescent="0.2">
      <c r="B53" s="8">
        <v>323</v>
      </c>
      <c r="C53" s="8">
        <v>349</v>
      </c>
    </row>
    <row r="54" spans="2:3" x14ac:dyDescent="0.2">
      <c r="B54" s="8">
        <v>181</v>
      </c>
      <c r="C54" s="8">
        <v>225</v>
      </c>
    </row>
    <row r="55" spans="2:3" x14ac:dyDescent="0.2">
      <c r="B55" s="8">
        <v>157</v>
      </c>
      <c r="C55" s="8">
        <v>217</v>
      </c>
    </row>
    <row r="56" spans="2:3" x14ac:dyDescent="0.2">
      <c r="B56" s="8">
        <v>266</v>
      </c>
      <c r="C56" s="8">
        <v>353</v>
      </c>
    </row>
    <row r="57" spans="2:3" x14ac:dyDescent="0.2">
      <c r="B57" s="8">
        <v>268</v>
      </c>
      <c r="C57" s="8">
        <v>314</v>
      </c>
    </row>
    <row r="58" spans="2:3" x14ac:dyDescent="0.2">
      <c r="B58" s="8">
        <v>167</v>
      </c>
      <c r="C58" s="8">
        <v>247</v>
      </c>
    </row>
    <row r="59" spans="2:3" x14ac:dyDescent="0.2">
      <c r="B59" s="8">
        <v>342</v>
      </c>
      <c r="C59" s="8">
        <v>410</v>
      </c>
    </row>
    <row r="60" spans="2:3" x14ac:dyDescent="0.2">
      <c r="B60" s="8">
        <v>349</v>
      </c>
      <c r="C60" s="8">
        <v>395</v>
      </c>
    </row>
    <row r="61" spans="2:3" x14ac:dyDescent="0.2">
      <c r="B61" s="8">
        <v>340</v>
      </c>
      <c r="C61" s="8">
        <v>416</v>
      </c>
    </row>
    <row r="62" spans="2:3" x14ac:dyDescent="0.2">
      <c r="B62" s="8">
        <v>227</v>
      </c>
      <c r="C62" s="8">
        <v>342</v>
      </c>
    </row>
    <row r="63" spans="2:3" x14ac:dyDescent="0.2">
      <c r="B63" s="8">
        <v>409</v>
      </c>
      <c r="C63" s="8">
        <v>446</v>
      </c>
    </row>
    <row r="64" spans="2:3" x14ac:dyDescent="0.2">
      <c r="B64" s="8">
        <v>400</v>
      </c>
      <c r="C64" s="8">
        <v>477</v>
      </c>
    </row>
    <row r="65" spans="2:3" x14ac:dyDescent="0.2">
      <c r="B65" s="8">
        <v>374</v>
      </c>
      <c r="C65" s="8">
        <v>444</v>
      </c>
    </row>
    <row r="66" spans="2:3" x14ac:dyDescent="0.2">
      <c r="B66" s="8">
        <v>255</v>
      </c>
      <c r="C66" s="8">
        <v>351</v>
      </c>
    </row>
    <row r="67" spans="2:3" x14ac:dyDescent="0.2">
      <c r="B67" s="8">
        <v>146</v>
      </c>
      <c r="C67" s="8">
        <v>165</v>
      </c>
    </row>
    <row r="68" spans="2:3" x14ac:dyDescent="0.2">
      <c r="B68" s="8">
        <v>248</v>
      </c>
      <c r="C68" s="8">
        <v>317</v>
      </c>
    </row>
    <row r="69" spans="2:3" x14ac:dyDescent="0.2">
      <c r="B69" s="8">
        <v>198</v>
      </c>
      <c r="C69" s="8">
        <v>250</v>
      </c>
    </row>
    <row r="70" spans="2:3" x14ac:dyDescent="0.2">
      <c r="B70" s="8">
        <v>210</v>
      </c>
      <c r="C70" s="8">
        <v>217</v>
      </c>
    </row>
    <row r="71" spans="2:3" x14ac:dyDescent="0.2">
      <c r="B71" s="8">
        <v>107</v>
      </c>
      <c r="C71" s="8">
        <v>138</v>
      </c>
    </row>
    <row r="72" spans="2:3" x14ac:dyDescent="0.2">
      <c r="B72" s="8">
        <v>239</v>
      </c>
      <c r="C72" s="8">
        <v>302</v>
      </c>
    </row>
    <row r="73" spans="2:3" x14ac:dyDescent="0.2">
      <c r="B73" s="8">
        <v>287</v>
      </c>
      <c r="C73" s="8">
        <v>311</v>
      </c>
    </row>
    <row r="74" spans="2:3" x14ac:dyDescent="0.2">
      <c r="B74" s="8">
        <v>340</v>
      </c>
      <c r="C74" s="8">
        <v>373</v>
      </c>
    </row>
    <row r="75" spans="2:3" x14ac:dyDescent="0.2">
      <c r="B75" s="8">
        <v>155</v>
      </c>
      <c r="C75" s="8">
        <v>196</v>
      </c>
    </row>
    <row r="76" spans="2:3" x14ac:dyDescent="0.2">
      <c r="B76" s="8">
        <v>263</v>
      </c>
      <c r="C76" s="8">
        <v>306</v>
      </c>
    </row>
    <row r="77" spans="2:3" x14ac:dyDescent="0.2">
      <c r="B77" s="8">
        <v>265</v>
      </c>
      <c r="C77" s="8">
        <v>302</v>
      </c>
    </row>
    <row r="78" spans="2:3" x14ac:dyDescent="0.2">
      <c r="B78" s="8">
        <v>249</v>
      </c>
      <c r="C78" s="8">
        <v>278</v>
      </c>
    </row>
    <row r="79" spans="2:3" x14ac:dyDescent="0.2">
      <c r="B79" s="8">
        <v>377</v>
      </c>
      <c r="C79" s="8">
        <v>429</v>
      </c>
    </row>
    <row r="80" spans="2:3" x14ac:dyDescent="0.2">
      <c r="B80" s="8">
        <v>301</v>
      </c>
      <c r="C80" s="8">
        <v>338</v>
      </c>
    </row>
    <row r="81" spans="2:3" x14ac:dyDescent="0.2">
      <c r="B81" s="8">
        <v>242</v>
      </c>
      <c r="C81" s="8">
        <v>261</v>
      </c>
    </row>
    <row r="82" spans="2:3" x14ac:dyDescent="0.2">
      <c r="B82" s="8">
        <v>211</v>
      </c>
      <c r="C82" s="8">
        <v>256</v>
      </c>
    </row>
    <row r="83" spans="2:3" x14ac:dyDescent="0.2">
      <c r="B83" s="8">
        <v>160</v>
      </c>
      <c r="C83" s="8">
        <v>183</v>
      </c>
    </row>
    <row r="84" spans="2:3" x14ac:dyDescent="0.2">
      <c r="B84" s="8">
        <v>218</v>
      </c>
      <c r="C84" s="8">
        <v>274</v>
      </c>
    </row>
    <row r="85" spans="2:3" x14ac:dyDescent="0.2">
      <c r="B85" s="8">
        <v>133</v>
      </c>
      <c r="C85" s="8">
        <v>182</v>
      </c>
    </row>
    <row r="86" spans="2:3" x14ac:dyDescent="0.2">
      <c r="B86" s="8">
        <v>122</v>
      </c>
      <c r="C86" s="8">
        <v>183</v>
      </c>
    </row>
    <row r="87" spans="2:3" x14ac:dyDescent="0.2">
      <c r="B87" s="8">
        <v>236</v>
      </c>
      <c r="C87" s="8">
        <v>309</v>
      </c>
    </row>
    <row r="88" spans="2:3" x14ac:dyDescent="0.2">
      <c r="B88" s="8">
        <v>143</v>
      </c>
      <c r="C88" s="8">
        <v>178</v>
      </c>
    </row>
    <row r="89" spans="2:3" x14ac:dyDescent="0.2">
      <c r="B89" s="8">
        <v>354</v>
      </c>
      <c r="C89" s="8">
        <v>458</v>
      </c>
    </row>
    <row r="90" spans="2:3" x14ac:dyDescent="0.2">
      <c r="B90" s="8">
        <v>214</v>
      </c>
      <c r="C90" s="8">
        <v>234</v>
      </c>
    </row>
    <row r="91" spans="2:3" x14ac:dyDescent="0.2">
      <c r="B91" s="8">
        <v>225</v>
      </c>
      <c r="C91" s="8">
        <v>306</v>
      </c>
    </row>
    <row r="92" spans="2:3" x14ac:dyDescent="0.2">
      <c r="B92" s="8">
        <v>261</v>
      </c>
      <c r="C92" s="8">
        <v>400</v>
      </c>
    </row>
    <row r="93" spans="2:3" x14ac:dyDescent="0.2">
      <c r="B93" s="8">
        <v>277</v>
      </c>
      <c r="C93" s="8">
        <v>337</v>
      </c>
    </row>
    <row r="94" spans="2:3" x14ac:dyDescent="0.2">
      <c r="B94" s="8">
        <v>282</v>
      </c>
      <c r="C94" s="8">
        <v>325</v>
      </c>
    </row>
    <row r="95" spans="2:3" x14ac:dyDescent="0.2">
      <c r="B95" s="8">
        <v>322</v>
      </c>
      <c r="C95" s="8">
        <v>329</v>
      </c>
    </row>
    <row r="96" spans="2:3" x14ac:dyDescent="0.2">
      <c r="B96" s="8">
        <v>326</v>
      </c>
      <c r="C96" s="8">
        <v>369</v>
      </c>
    </row>
    <row r="97" spans="2:3" x14ac:dyDescent="0.2">
      <c r="B97" s="8">
        <v>421</v>
      </c>
      <c r="C97" s="8">
        <v>457</v>
      </c>
    </row>
    <row r="98" spans="2:3" x14ac:dyDescent="0.2">
      <c r="B98" s="8">
        <v>368</v>
      </c>
      <c r="C98" s="8">
        <v>421</v>
      </c>
    </row>
    <row r="99" spans="2:3" x14ac:dyDescent="0.2">
      <c r="B99" s="8">
        <v>279</v>
      </c>
      <c r="C99" s="8">
        <v>282</v>
      </c>
    </row>
    <row r="100" spans="2:3" x14ac:dyDescent="0.2">
      <c r="B100" s="8">
        <v>268</v>
      </c>
      <c r="C100" s="8">
        <v>256</v>
      </c>
    </row>
  </sheetData>
  <mergeCells count="1">
    <mergeCell ref="E5:G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CAEAF-3DF5-44BA-A716-C330C5ECF812}">
  <sheetPr codeName="Sheet11">
    <tabColor theme="4" tint="0.79998168889431442"/>
  </sheetPr>
  <dimension ref="B1:K100"/>
  <sheetViews>
    <sheetView showGridLines="0" workbookViewId="0">
      <selection activeCell="G14" sqref="G14"/>
    </sheetView>
  </sheetViews>
  <sheetFormatPr baseColWidth="10" defaultColWidth="8.83203125" defaultRowHeight="15" x14ac:dyDescent="0.2"/>
  <cols>
    <col min="1" max="1" width="2.83203125" customWidth="1"/>
    <col min="2" max="2" width="21.5" bestFit="1" customWidth="1"/>
    <col min="3" max="3" width="19.83203125" bestFit="1" customWidth="1"/>
  </cols>
  <sheetData>
    <row r="1" spans="2:11" ht="25.5" customHeight="1" x14ac:dyDescent="0.25">
      <c r="B1" s="18" t="s">
        <v>124</v>
      </c>
    </row>
    <row r="2" spans="2:11" ht="15" customHeight="1" x14ac:dyDescent="0.2">
      <c r="B2" s="30" t="s">
        <v>289</v>
      </c>
    </row>
    <row r="3" spans="2:11" ht="18" customHeight="1" x14ac:dyDescent="0.2"/>
    <row r="4" spans="2:11" x14ac:dyDescent="0.2">
      <c r="E4" s="3" t="s">
        <v>54</v>
      </c>
      <c r="I4" s="3" t="s">
        <v>53</v>
      </c>
    </row>
    <row r="5" spans="2:11" x14ac:dyDescent="0.2">
      <c r="B5" s="7" t="s">
        <v>22</v>
      </c>
      <c r="C5" s="7" t="s">
        <v>23</v>
      </c>
      <c r="E5" s="115" t="s">
        <v>64</v>
      </c>
      <c r="F5" s="115"/>
      <c r="G5" s="115"/>
      <c r="I5" s="116" t="s">
        <v>64</v>
      </c>
      <c r="J5" s="116"/>
      <c r="K5" s="116"/>
    </row>
    <row r="6" spans="2:11" x14ac:dyDescent="0.2">
      <c r="B6" s="8">
        <v>252</v>
      </c>
      <c r="C6" s="8">
        <v>276</v>
      </c>
      <c r="F6" s="17" t="s">
        <v>61</v>
      </c>
      <c r="G6" s="17" t="s">
        <v>62</v>
      </c>
      <c r="J6" s="17" t="s">
        <v>61</v>
      </c>
      <c r="K6" s="17" t="s">
        <v>62</v>
      </c>
    </row>
    <row r="7" spans="2:11" x14ac:dyDescent="0.2">
      <c r="B7" s="8">
        <v>423</v>
      </c>
      <c r="C7" s="8">
        <v>410</v>
      </c>
      <c r="E7" s="20" t="s">
        <v>33</v>
      </c>
      <c r="F7" s="75">
        <f>MIN(B6:B100)</f>
        <v>62</v>
      </c>
      <c r="G7" s="71">
        <f>MIN(C6:C100)</f>
        <v>102</v>
      </c>
      <c r="I7" s="20" t="s">
        <v>33</v>
      </c>
      <c r="J7" s="71" cm="1">
        <f t="array" ref="J7:J11">_xlfn.QUARTILE.INC(B6:B100,_xlfn.SEQUENCE(5,,0,1))</f>
        <v>62</v>
      </c>
      <c r="K7" s="71" cm="1">
        <f t="array" ref="K7:K11">_xlfn.QUARTILE.INC(C6:C100,_xlfn.SEQUENCE(5,,0,1))</f>
        <v>102</v>
      </c>
    </row>
    <row r="8" spans="2:11" x14ac:dyDescent="0.2">
      <c r="B8" s="8">
        <v>101</v>
      </c>
      <c r="C8" s="8">
        <v>119</v>
      </c>
      <c r="E8" s="20" t="s">
        <v>65</v>
      </c>
      <c r="F8" s="71">
        <f>_xlfn.QUARTILE.INC(B6:B100,1)</f>
        <v>181.5</v>
      </c>
      <c r="G8" s="71">
        <f>_xlfn.QUARTILE.INC(C6:C100,1)</f>
        <v>228</v>
      </c>
      <c r="I8" s="20" t="s">
        <v>65</v>
      </c>
      <c r="J8" s="71">
        <v>181.5</v>
      </c>
      <c r="K8" s="71">
        <v>228</v>
      </c>
    </row>
    <row r="9" spans="2:11" x14ac:dyDescent="0.2">
      <c r="B9" s="8">
        <v>288</v>
      </c>
      <c r="C9" s="8">
        <v>334</v>
      </c>
      <c r="E9" s="20" t="s">
        <v>47</v>
      </c>
      <c r="F9" s="71">
        <f>MEDIAN(B6:B100)</f>
        <v>236</v>
      </c>
      <c r="G9" s="71">
        <f>MEDIAN(C6:C100)</f>
        <v>286</v>
      </c>
      <c r="I9" s="20" t="s">
        <v>47</v>
      </c>
      <c r="J9" s="71">
        <v>236</v>
      </c>
      <c r="K9" s="71">
        <v>286</v>
      </c>
    </row>
    <row r="10" spans="2:11" x14ac:dyDescent="0.2">
      <c r="B10" s="8">
        <v>248</v>
      </c>
      <c r="C10" s="8">
        <v>252</v>
      </c>
      <c r="E10" s="20" t="s">
        <v>66</v>
      </c>
      <c r="F10" s="71">
        <f>_xlfn.QUARTILE.INC(B6:B100,3)</f>
        <v>287</v>
      </c>
      <c r="G10" s="71">
        <f>_xlfn.QUARTILE.INC(C6:C100,3)</f>
        <v>348</v>
      </c>
      <c r="I10" s="20" t="s">
        <v>66</v>
      </c>
      <c r="J10" s="71">
        <v>287</v>
      </c>
      <c r="K10" s="71">
        <v>348</v>
      </c>
    </row>
    <row r="11" spans="2:11" x14ac:dyDescent="0.2">
      <c r="B11" s="8">
        <v>145</v>
      </c>
      <c r="C11" s="8">
        <v>209</v>
      </c>
      <c r="E11" s="20" t="s">
        <v>32</v>
      </c>
      <c r="F11" s="71">
        <f>MAX(B6:B100)</f>
        <v>423</v>
      </c>
      <c r="G11" s="71">
        <f>MAX(C6:C100)</f>
        <v>481</v>
      </c>
      <c r="I11" s="20" t="s">
        <v>32</v>
      </c>
      <c r="J11" s="71">
        <v>423</v>
      </c>
      <c r="K11" s="71">
        <v>481</v>
      </c>
    </row>
    <row r="12" spans="2:11" x14ac:dyDescent="0.2">
      <c r="B12" s="8">
        <v>401</v>
      </c>
      <c r="C12" s="8">
        <v>462</v>
      </c>
      <c r="E12" s="20" t="s">
        <v>67</v>
      </c>
      <c r="F12" s="71">
        <f>F10-F8</f>
        <v>105.5</v>
      </c>
      <c r="G12" s="71">
        <f>G10-G8</f>
        <v>120</v>
      </c>
      <c r="I12" s="20" t="s">
        <v>67</v>
      </c>
      <c r="J12" s="71">
        <f>J10-J8</f>
        <v>105.5</v>
      </c>
      <c r="K12" s="71">
        <f>K10-K8</f>
        <v>120</v>
      </c>
    </row>
    <row r="13" spans="2:11" x14ac:dyDescent="0.2">
      <c r="B13" s="8">
        <v>287</v>
      </c>
      <c r="C13" s="8">
        <v>342</v>
      </c>
      <c r="E13" s="20"/>
    </row>
    <row r="14" spans="2:11" x14ac:dyDescent="0.2">
      <c r="B14" s="8">
        <v>275</v>
      </c>
      <c r="C14" s="8">
        <v>347</v>
      </c>
    </row>
    <row r="15" spans="2:11" x14ac:dyDescent="0.2">
      <c r="B15" s="8">
        <v>254</v>
      </c>
      <c r="C15" s="8">
        <v>313</v>
      </c>
    </row>
    <row r="16" spans="2:11" x14ac:dyDescent="0.2">
      <c r="B16" s="8">
        <v>182</v>
      </c>
      <c r="C16" s="8">
        <v>232</v>
      </c>
    </row>
    <row r="17" spans="2:3" x14ac:dyDescent="0.2">
      <c r="B17" s="8">
        <v>117</v>
      </c>
      <c r="C17" s="8">
        <v>163</v>
      </c>
    </row>
    <row r="18" spans="2:3" x14ac:dyDescent="0.2">
      <c r="B18" s="8">
        <v>130</v>
      </c>
      <c r="C18" s="8">
        <v>119</v>
      </c>
    </row>
    <row r="19" spans="2:3" x14ac:dyDescent="0.2">
      <c r="B19" s="8">
        <v>219</v>
      </c>
      <c r="C19" s="8">
        <v>304</v>
      </c>
    </row>
    <row r="20" spans="2:3" x14ac:dyDescent="0.2">
      <c r="B20" s="8">
        <v>152</v>
      </c>
      <c r="C20" s="8">
        <v>211</v>
      </c>
    </row>
    <row r="21" spans="2:3" x14ac:dyDescent="0.2">
      <c r="B21" s="8">
        <v>228</v>
      </c>
      <c r="C21" s="8">
        <v>286</v>
      </c>
    </row>
    <row r="22" spans="2:3" x14ac:dyDescent="0.2">
      <c r="B22" s="8">
        <v>62</v>
      </c>
      <c r="C22" s="8">
        <v>122</v>
      </c>
    </row>
    <row r="23" spans="2:3" x14ac:dyDescent="0.2">
      <c r="B23" s="8">
        <v>393</v>
      </c>
      <c r="C23" s="8">
        <v>443</v>
      </c>
    </row>
    <row r="24" spans="2:3" x14ac:dyDescent="0.2">
      <c r="B24" s="8">
        <v>277</v>
      </c>
      <c r="C24" s="8">
        <v>366</v>
      </c>
    </row>
    <row r="25" spans="2:3" x14ac:dyDescent="0.2">
      <c r="B25" s="8">
        <v>206</v>
      </c>
      <c r="C25" s="8">
        <v>244</v>
      </c>
    </row>
    <row r="26" spans="2:3" x14ac:dyDescent="0.2">
      <c r="B26" s="8">
        <v>229</v>
      </c>
      <c r="C26" s="8">
        <v>241</v>
      </c>
    </row>
    <row r="27" spans="2:3" x14ac:dyDescent="0.2">
      <c r="B27" s="8">
        <v>182</v>
      </c>
      <c r="C27" s="8">
        <v>237</v>
      </c>
    </row>
    <row r="28" spans="2:3" x14ac:dyDescent="0.2">
      <c r="B28" s="8">
        <v>98</v>
      </c>
      <c r="C28" s="8">
        <v>122</v>
      </c>
    </row>
    <row r="29" spans="2:3" x14ac:dyDescent="0.2">
      <c r="B29" s="8">
        <v>125</v>
      </c>
      <c r="C29" s="8">
        <v>129</v>
      </c>
    </row>
    <row r="30" spans="2:3" x14ac:dyDescent="0.2">
      <c r="B30" s="8">
        <v>164</v>
      </c>
      <c r="C30" s="8">
        <v>236</v>
      </c>
    </row>
    <row r="31" spans="2:3" x14ac:dyDescent="0.2">
      <c r="B31" s="8">
        <v>186</v>
      </c>
      <c r="C31" s="8">
        <v>251</v>
      </c>
    </row>
    <row r="32" spans="2:3" x14ac:dyDescent="0.2">
      <c r="B32" s="8">
        <v>235</v>
      </c>
      <c r="C32" s="8">
        <v>283</v>
      </c>
    </row>
    <row r="33" spans="2:3" x14ac:dyDescent="0.2">
      <c r="B33" s="8">
        <v>184</v>
      </c>
      <c r="C33" s="8">
        <v>225</v>
      </c>
    </row>
    <row r="34" spans="2:3" x14ac:dyDescent="0.2">
      <c r="B34" s="8">
        <v>76</v>
      </c>
      <c r="C34" s="8">
        <v>102</v>
      </c>
    </row>
    <row r="35" spans="2:3" x14ac:dyDescent="0.2">
      <c r="B35" s="8">
        <v>126</v>
      </c>
      <c r="C35" s="8">
        <v>180</v>
      </c>
    </row>
    <row r="36" spans="2:3" x14ac:dyDescent="0.2">
      <c r="B36" s="8">
        <v>183</v>
      </c>
      <c r="C36" s="8">
        <v>247</v>
      </c>
    </row>
    <row r="37" spans="2:3" x14ac:dyDescent="0.2">
      <c r="B37" s="8">
        <v>242</v>
      </c>
      <c r="C37" s="8">
        <v>343</v>
      </c>
    </row>
    <row r="38" spans="2:3" x14ac:dyDescent="0.2">
      <c r="B38" s="8">
        <v>207</v>
      </c>
      <c r="C38" s="8">
        <v>283</v>
      </c>
    </row>
    <row r="39" spans="2:3" x14ac:dyDescent="0.2">
      <c r="B39" s="8">
        <v>181</v>
      </c>
      <c r="C39" s="8">
        <v>253</v>
      </c>
    </row>
    <row r="40" spans="2:3" x14ac:dyDescent="0.2">
      <c r="B40" s="8">
        <v>239</v>
      </c>
      <c r="C40" s="8">
        <v>263</v>
      </c>
    </row>
    <row r="41" spans="2:3" x14ac:dyDescent="0.2">
      <c r="B41" s="8">
        <v>216</v>
      </c>
      <c r="C41" s="8">
        <v>291</v>
      </c>
    </row>
    <row r="42" spans="2:3" x14ac:dyDescent="0.2">
      <c r="B42" s="8">
        <v>289</v>
      </c>
      <c r="C42" s="8">
        <v>368</v>
      </c>
    </row>
    <row r="43" spans="2:3" x14ac:dyDescent="0.2">
      <c r="B43" s="8">
        <v>213</v>
      </c>
      <c r="C43" s="8">
        <v>206</v>
      </c>
    </row>
    <row r="44" spans="2:3" x14ac:dyDescent="0.2">
      <c r="B44" s="8">
        <v>209</v>
      </c>
      <c r="C44" s="8">
        <v>231</v>
      </c>
    </row>
    <row r="45" spans="2:3" x14ac:dyDescent="0.2">
      <c r="B45" s="8">
        <v>376</v>
      </c>
      <c r="C45" s="8">
        <v>389</v>
      </c>
    </row>
    <row r="46" spans="2:3" x14ac:dyDescent="0.2">
      <c r="B46" s="8">
        <v>332</v>
      </c>
      <c r="C46" s="8">
        <v>396</v>
      </c>
    </row>
    <row r="47" spans="2:3" x14ac:dyDescent="0.2">
      <c r="B47" s="8">
        <v>249</v>
      </c>
      <c r="C47" s="8">
        <v>339</v>
      </c>
    </row>
    <row r="48" spans="2:3" x14ac:dyDescent="0.2">
      <c r="B48" s="8">
        <v>228</v>
      </c>
      <c r="C48" s="8">
        <v>286</v>
      </c>
    </row>
    <row r="49" spans="2:3" x14ac:dyDescent="0.2">
      <c r="B49" s="8">
        <v>124</v>
      </c>
      <c r="C49" s="8">
        <v>146</v>
      </c>
    </row>
    <row r="50" spans="2:3" x14ac:dyDescent="0.2">
      <c r="B50" s="8">
        <v>194</v>
      </c>
      <c r="C50" s="8">
        <v>315</v>
      </c>
    </row>
    <row r="51" spans="2:3" x14ac:dyDescent="0.2">
      <c r="B51" s="8">
        <v>157</v>
      </c>
      <c r="C51" s="8">
        <v>183</v>
      </c>
    </row>
    <row r="52" spans="2:3" x14ac:dyDescent="0.2">
      <c r="B52" s="8">
        <v>402</v>
      </c>
      <c r="C52" s="8">
        <v>481</v>
      </c>
    </row>
    <row r="53" spans="2:3" x14ac:dyDescent="0.2">
      <c r="B53" s="8">
        <v>323</v>
      </c>
      <c r="C53" s="8">
        <v>349</v>
      </c>
    </row>
    <row r="54" spans="2:3" x14ac:dyDescent="0.2">
      <c r="B54" s="8">
        <v>181</v>
      </c>
      <c r="C54" s="8">
        <v>225</v>
      </c>
    </row>
    <row r="55" spans="2:3" x14ac:dyDescent="0.2">
      <c r="B55" s="8">
        <v>157</v>
      </c>
      <c r="C55" s="8">
        <v>217</v>
      </c>
    </row>
    <row r="56" spans="2:3" x14ac:dyDescent="0.2">
      <c r="B56" s="8">
        <v>266</v>
      </c>
      <c r="C56" s="8">
        <v>353</v>
      </c>
    </row>
    <row r="57" spans="2:3" x14ac:dyDescent="0.2">
      <c r="B57" s="8">
        <v>268</v>
      </c>
      <c r="C57" s="8">
        <v>314</v>
      </c>
    </row>
    <row r="58" spans="2:3" x14ac:dyDescent="0.2">
      <c r="B58" s="8">
        <v>167</v>
      </c>
      <c r="C58" s="8">
        <v>247</v>
      </c>
    </row>
    <row r="59" spans="2:3" x14ac:dyDescent="0.2">
      <c r="B59" s="8">
        <v>342</v>
      </c>
      <c r="C59" s="8">
        <v>410</v>
      </c>
    </row>
    <row r="60" spans="2:3" x14ac:dyDescent="0.2">
      <c r="B60" s="8">
        <v>349</v>
      </c>
      <c r="C60" s="8">
        <v>395</v>
      </c>
    </row>
    <row r="61" spans="2:3" x14ac:dyDescent="0.2">
      <c r="B61" s="8">
        <v>340</v>
      </c>
      <c r="C61" s="8">
        <v>416</v>
      </c>
    </row>
    <row r="62" spans="2:3" x14ac:dyDescent="0.2">
      <c r="B62" s="8">
        <v>227</v>
      </c>
      <c r="C62" s="8">
        <v>342</v>
      </c>
    </row>
    <row r="63" spans="2:3" x14ac:dyDescent="0.2">
      <c r="B63" s="8">
        <v>409</v>
      </c>
      <c r="C63" s="8">
        <v>446</v>
      </c>
    </row>
    <row r="64" spans="2:3" x14ac:dyDescent="0.2">
      <c r="B64" s="8">
        <v>400</v>
      </c>
      <c r="C64" s="8">
        <v>477</v>
      </c>
    </row>
    <row r="65" spans="2:3" x14ac:dyDescent="0.2">
      <c r="B65" s="8">
        <v>374</v>
      </c>
      <c r="C65" s="8">
        <v>444</v>
      </c>
    </row>
    <row r="66" spans="2:3" x14ac:dyDescent="0.2">
      <c r="B66" s="8">
        <v>255</v>
      </c>
      <c r="C66" s="8">
        <v>351</v>
      </c>
    </row>
    <row r="67" spans="2:3" x14ac:dyDescent="0.2">
      <c r="B67" s="8">
        <v>146</v>
      </c>
      <c r="C67" s="8">
        <v>165</v>
      </c>
    </row>
    <row r="68" spans="2:3" x14ac:dyDescent="0.2">
      <c r="B68" s="8">
        <v>248</v>
      </c>
      <c r="C68" s="8">
        <v>317</v>
      </c>
    </row>
    <row r="69" spans="2:3" x14ac:dyDescent="0.2">
      <c r="B69" s="8">
        <v>198</v>
      </c>
      <c r="C69" s="8">
        <v>250</v>
      </c>
    </row>
    <row r="70" spans="2:3" x14ac:dyDescent="0.2">
      <c r="B70" s="8">
        <v>210</v>
      </c>
      <c r="C70" s="8">
        <v>217</v>
      </c>
    </row>
    <row r="71" spans="2:3" x14ac:dyDescent="0.2">
      <c r="B71" s="8">
        <v>107</v>
      </c>
      <c r="C71" s="8">
        <v>138</v>
      </c>
    </row>
    <row r="72" spans="2:3" x14ac:dyDescent="0.2">
      <c r="B72" s="8">
        <v>239</v>
      </c>
      <c r="C72" s="8">
        <v>302</v>
      </c>
    </row>
    <row r="73" spans="2:3" x14ac:dyDescent="0.2">
      <c r="B73" s="8">
        <v>287</v>
      </c>
      <c r="C73" s="8">
        <v>311</v>
      </c>
    </row>
    <row r="74" spans="2:3" x14ac:dyDescent="0.2">
      <c r="B74" s="8">
        <v>340</v>
      </c>
      <c r="C74" s="8">
        <v>373</v>
      </c>
    </row>
    <row r="75" spans="2:3" x14ac:dyDescent="0.2">
      <c r="B75" s="8">
        <v>155</v>
      </c>
      <c r="C75" s="8">
        <v>196</v>
      </c>
    </row>
    <row r="76" spans="2:3" x14ac:dyDescent="0.2">
      <c r="B76" s="8">
        <v>263</v>
      </c>
      <c r="C76" s="8">
        <v>306</v>
      </c>
    </row>
    <row r="77" spans="2:3" x14ac:dyDescent="0.2">
      <c r="B77" s="8">
        <v>265</v>
      </c>
      <c r="C77" s="8">
        <v>302</v>
      </c>
    </row>
    <row r="78" spans="2:3" x14ac:dyDescent="0.2">
      <c r="B78" s="8">
        <v>249</v>
      </c>
      <c r="C78" s="8">
        <v>278</v>
      </c>
    </row>
    <row r="79" spans="2:3" x14ac:dyDescent="0.2">
      <c r="B79" s="8">
        <v>377</v>
      </c>
      <c r="C79" s="8">
        <v>429</v>
      </c>
    </row>
    <row r="80" spans="2:3" x14ac:dyDescent="0.2">
      <c r="B80" s="8">
        <v>301</v>
      </c>
      <c r="C80" s="8">
        <v>338</v>
      </c>
    </row>
    <row r="81" spans="2:3" x14ac:dyDescent="0.2">
      <c r="B81" s="8">
        <v>242</v>
      </c>
      <c r="C81" s="8">
        <v>261</v>
      </c>
    </row>
    <row r="82" spans="2:3" x14ac:dyDescent="0.2">
      <c r="B82" s="8">
        <v>211</v>
      </c>
      <c r="C82" s="8">
        <v>256</v>
      </c>
    </row>
    <row r="83" spans="2:3" x14ac:dyDescent="0.2">
      <c r="B83" s="8">
        <v>160</v>
      </c>
      <c r="C83" s="8">
        <v>183</v>
      </c>
    </row>
    <row r="84" spans="2:3" x14ac:dyDescent="0.2">
      <c r="B84" s="8">
        <v>218</v>
      </c>
      <c r="C84" s="8">
        <v>274</v>
      </c>
    </row>
    <row r="85" spans="2:3" x14ac:dyDescent="0.2">
      <c r="B85" s="8">
        <v>133</v>
      </c>
      <c r="C85" s="8">
        <v>182</v>
      </c>
    </row>
    <row r="86" spans="2:3" x14ac:dyDescent="0.2">
      <c r="B86" s="8">
        <v>122</v>
      </c>
      <c r="C86" s="8">
        <v>183</v>
      </c>
    </row>
    <row r="87" spans="2:3" x14ac:dyDescent="0.2">
      <c r="B87" s="8">
        <v>236</v>
      </c>
      <c r="C87" s="8">
        <v>309</v>
      </c>
    </row>
    <row r="88" spans="2:3" x14ac:dyDescent="0.2">
      <c r="B88" s="8">
        <v>143</v>
      </c>
      <c r="C88" s="8">
        <v>178</v>
      </c>
    </row>
    <row r="89" spans="2:3" x14ac:dyDescent="0.2">
      <c r="B89" s="8">
        <v>354</v>
      </c>
      <c r="C89" s="8">
        <v>458</v>
      </c>
    </row>
    <row r="90" spans="2:3" x14ac:dyDescent="0.2">
      <c r="B90" s="8">
        <v>214</v>
      </c>
      <c r="C90" s="8">
        <v>234</v>
      </c>
    </row>
    <row r="91" spans="2:3" x14ac:dyDescent="0.2">
      <c r="B91" s="8">
        <v>225</v>
      </c>
      <c r="C91" s="8">
        <v>306</v>
      </c>
    </row>
    <row r="92" spans="2:3" x14ac:dyDescent="0.2">
      <c r="B92" s="8">
        <v>261</v>
      </c>
      <c r="C92" s="8">
        <v>400</v>
      </c>
    </row>
    <row r="93" spans="2:3" x14ac:dyDescent="0.2">
      <c r="B93" s="8">
        <v>277</v>
      </c>
      <c r="C93" s="8">
        <v>337</v>
      </c>
    </row>
    <row r="94" spans="2:3" x14ac:dyDescent="0.2">
      <c r="B94" s="8">
        <v>282</v>
      </c>
      <c r="C94" s="8">
        <v>325</v>
      </c>
    </row>
    <row r="95" spans="2:3" x14ac:dyDescent="0.2">
      <c r="B95" s="8">
        <v>322</v>
      </c>
      <c r="C95" s="8">
        <v>329</v>
      </c>
    </row>
    <row r="96" spans="2:3" x14ac:dyDescent="0.2">
      <c r="B96" s="8">
        <v>326</v>
      </c>
      <c r="C96" s="8">
        <v>369</v>
      </c>
    </row>
    <row r="97" spans="2:3" x14ac:dyDescent="0.2">
      <c r="B97" s="8">
        <v>421</v>
      </c>
      <c r="C97" s="8">
        <v>457</v>
      </c>
    </row>
    <row r="98" spans="2:3" x14ac:dyDescent="0.2">
      <c r="B98" s="8">
        <v>368</v>
      </c>
      <c r="C98" s="8">
        <v>421</v>
      </c>
    </row>
    <row r="99" spans="2:3" x14ac:dyDescent="0.2">
      <c r="B99" s="8">
        <v>279</v>
      </c>
      <c r="C99" s="8">
        <v>282</v>
      </c>
    </row>
    <row r="100" spans="2:3" x14ac:dyDescent="0.2">
      <c r="B100" s="8">
        <v>268</v>
      </c>
      <c r="C100" s="8">
        <v>256</v>
      </c>
    </row>
  </sheetData>
  <mergeCells count="2">
    <mergeCell ref="E5:G5"/>
    <mergeCell ref="I5:K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32F70-2147-4FCC-BD59-7EAE2C0B7E3E}">
  <sheetPr codeName="Sheet12">
    <tabColor theme="4" tint="0.79998168889431442"/>
  </sheetPr>
  <dimension ref="B1:C100"/>
  <sheetViews>
    <sheetView showGridLines="0" workbookViewId="0">
      <selection activeCell="C22" sqref="C22"/>
    </sheetView>
  </sheetViews>
  <sheetFormatPr baseColWidth="10" defaultColWidth="8.83203125" defaultRowHeight="15" x14ac:dyDescent="0.2"/>
  <cols>
    <col min="1" max="1" width="2.83203125" customWidth="1"/>
    <col min="2" max="2" width="21.5" bestFit="1" customWidth="1"/>
    <col min="3" max="3" width="19.83203125" bestFit="1" customWidth="1"/>
  </cols>
  <sheetData>
    <row r="1" spans="2:3" ht="25.5" customHeight="1" x14ac:dyDescent="0.25">
      <c r="B1" s="18" t="s">
        <v>124</v>
      </c>
    </row>
    <row r="2" spans="2:3" ht="15" customHeight="1" x14ac:dyDescent="0.2">
      <c r="B2" s="30" t="s">
        <v>9</v>
      </c>
    </row>
    <row r="3" spans="2:3" ht="18" customHeight="1" x14ac:dyDescent="0.2"/>
    <row r="5" spans="2:3" x14ac:dyDescent="0.2">
      <c r="B5" s="7" t="s">
        <v>22</v>
      </c>
      <c r="C5" s="7" t="s">
        <v>23</v>
      </c>
    </row>
    <row r="6" spans="2:3" x14ac:dyDescent="0.2">
      <c r="B6" s="8">
        <v>252</v>
      </c>
      <c r="C6" s="8">
        <v>276</v>
      </c>
    </row>
    <row r="7" spans="2:3" x14ac:dyDescent="0.2">
      <c r="B7" s="8">
        <v>423</v>
      </c>
      <c r="C7" s="8">
        <v>410</v>
      </c>
    </row>
    <row r="8" spans="2:3" x14ac:dyDescent="0.2">
      <c r="B8" s="8">
        <v>101</v>
      </c>
      <c r="C8" s="8">
        <v>119</v>
      </c>
    </row>
    <row r="9" spans="2:3" x14ac:dyDescent="0.2">
      <c r="B9" s="8">
        <v>288</v>
      </c>
      <c r="C9" s="8">
        <v>334</v>
      </c>
    </row>
    <row r="10" spans="2:3" x14ac:dyDescent="0.2">
      <c r="B10" s="8">
        <v>248</v>
      </c>
      <c r="C10" s="8">
        <v>252</v>
      </c>
    </row>
    <row r="11" spans="2:3" x14ac:dyDescent="0.2">
      <c r="B11" s="8">
        <v>145</v>
      </c>
      <c r="C11" s="8">
        <v>209</v>
      </c>
    </row>
    <row r="12" spans="2:3" x14ac:dyDescent="0.2">
      <c r="B12" s="8">
        <v>401</v>
      </c>
      <c r="C12" s="8">
        <v>462</v>
      </c>
    </row>
    <row r="13" spans="2:3" x14ac:dyDescent="0.2">
      <c r="B13" s="8">
        <v>287</v>
      </c>
      <c r="C13" s="8">
        <v>342</v>
      </c>
    </row>
    <row r="14" spans="2:3" x14ac:dyDescent="0.2">
      <c r="B14" s="8">
        <v>275</v>
      </c>
      <c r="C14" s="8">
        <v>347</v>
      </c>
    </row>
    <row r="15" spans="2:3" x14ac:dyDescent="0.2">
      <c r="B15" s="8">
        <v>254</v>
      </c>
      <c r="C15" s="8">
        <v>313</v>
      </c>
    </row>
    <row r="16" spans="2:3" x14ac:dyDescent="0.2">
      <c r="B16" s="8">
        <v>182</v>
      </c>
      <c r="C16" s="8">
        <v>232</v>
      </c>
    </row>
    <row r="17" spans="2:3" x14ac:dyDescent="0.2">
      <c r="B17" s="8">
        <v>117</v>
      </c>
      <c r="C17" s="8">
        <v>163</v>
      </c>
    </row>
    <row r="18" spans="2:3" x14ac:dyDescent="0.2">
      <c r="B18" s="8">
        <v>130</v>
      </c>
      <c r="C18" s="8">
        <v>119</v>
      </c>
    </row>
    <row r="19" spans="2:3" x14ac:dyDescent="0.2">
      <c r="B19" s="8">
        <v>219</v>
      </c>
      <c r="C19" s="8">
        <v>304</v>
      </c>
    </row>
    <row r="20" spans="2:3" x14ac:dyDescent="0.2">
      <c r="B20" s="8">
        <v>152</v>
      </c>
      <c r="C20" s="8">
        <v>211</v>
      </c>
    </row>
    <row r="21" spans="2:3" x14ac:dyDescent="0.2">
      <c r="B21" s="8">
        <v>228</v>
      </c>
      <c r="C21" s="8">
        <v>286</v>
      </c>
    </row>
    <row r="22" spans="2:3" x14ac:dyDescent="0.2">
      <c r="B22" s="8">
        <v>62</v>
      </c>
      <c r="C22" s="8">
        <v>122</v>
      </c>
    </row>
    <row r="23" spans="2:3" x14ac:dyDescent="0.2">
      <c r="B23" s="8">
        <v>393</v>
      </c>
      <c r="C23" s="8">
        <v>443</v>
      </c>
    </row>
    <row r="24" spans="2:3" x14ac:dyDescent="0.2">
      <c r="B24" s="8">
        <v>277</v>
      </c>
      <c r="C24" s="8">
        <v>366</v>
      </c>
    </row>
    <row r="25" spans="2:3" x14ac:dyDescent="0.2">
      <c r="B25" s="8">
        <v>206</v>
      </c>
      <c r="C25" s="8">
        <v>244</v>
      </c>
    </row>
    <row r="26" spans="2:3" x14ac:dyDescent="0.2">
      <c r="B26" s="8">
        <v>229</v>
      </c>
      <c r="C26" s="8">
        <v>241</v>
      </c>
    </row>
    <row r="27" spans="2:3" x14ac:dyDescent="0.2">
      <c r="B27" s="8">
        <v>182</v>
      </c>
      <c r="C27" s="8">
        <v>237</v>
      </c>
    </row>
    <row r="28" spans="2:3" x14ac:dyDescent="0.2">
      <c r="B28" s="8">
        <v>98</v>
      </c>
      <c r="C28" s="8">
        <v>122</v>
      </c>
    </row>
    <row r="29" spans="2:3" x14ac:dyDescent="0.2">
      <c r="B29" s="8">
        <v>125</v>
      </c>
      <c r="C29" s="8">
        <v>129</v>
      </c>
    </row>
    <row r="30" spans="2:3" x14ac:dyDescent="0.2">
      <c r="B30" s="8">
        <v>164</v>
      </c>
      <c r="C30" s="8">
        <v>236</v>
      </c>
    </row>
    <row r="31" spans="2:3" x14ac:dyDescent="0.2">
      <c r="B31" s="8">
        <v>186</v>
      </c>
      <c r="C31" s="8">
        <v>251</v>
      </c>
    </row>
    <row r="32" spans="2:3" x14ac:dyDescent="0.2">
      <c r="B32" s="8">
        <v>235</v>
      </c>
      <c r="C32" s="8">
        <v>283</v>
      </c>
    </row>
    <row r="33" spans="2:3" x14ac:dyDescent="0.2">
      <c r="B33" s="8">
        <v>184</v>
      </c>
      <c r="C33" s="8">
        <v>225</v>
      </c>
    </row>
    <row r="34" spans="2:3" x14ac:dyDescent="0.2">
      <c r="B34" s="8">
        <v>76</v>
      </c>
      <c r="C34" s="8">
        <v>102</v>
      </c>
    </row>
    <row r="35" spans="2:3" x14ac:dyDescent="0.2">
      <c r="B35" s="8">
        <v>126</v>
      </c>
      <c r="C35" s="8">
        <v>180</v>
      </c>
    </row>
    <row r="36" spans="2:3" x14ac:dyDescent="0.2">
      <c r="B36" s="8">
        <v>183</v>
      </c>
      <c r="C36" s="8">
        <v>247</v>
      </c>
    </row>
    <row r="37" spans="2:3" x14ac:dyDescent="0.2">
      <c r="B37" s="8">
        <v>242</v>
      </c>
      <c r="C37" s="8">
        <v>343</v>
      </c>
    </row>
    <row r="38" spans="2:3" x14ac:dyDescent="0.2">
      <c r="B38" s="8">
        <v>207</v>
      </c>
      <c r="C38" s="8">
        <v>283</v>
      </c>
    </row>
    <row r="39" spans="2:3" x14ac:dyDescent="0.2">
      <c r="B39" s="8">
        <v>181</v>
      </c>
      <c r="C39" s="8">
        <v>253</v>
      </c>
    </row>
    <row r="40" spans="2:3" x14ac:dyDescent="0.2">
      <c r="B40" s="8">
        <v>239</v>
      </c>
      <c r="C40" s="8">
        <v>263</v>
      </c>
    </row>
    <row r="41" spans="2:3" x14ac:dyDescent="0.2">
      <c r="B41" s="8">
        <v>216</v>
      </c>
      <c r="C41" s="8">
        <v>291</v>
      </c>
    </row>
    <row r="42" spans="2:3" x14ac:dyDescent="0.2">
      <c r="B42" s="8">
        <v>289</v>
      </c>
      <c r="C42" s="8">
        <v>368</v>
      </c>
    </row>
    <row r="43" spans="2:3" x14ac:dyDescent="0.2">
      <c r="B43" s="8">
        <v>213</v>
      </c>
      <c r="C43" s="8">
        <v>206</v>
      </c>
    </row>
    <row r="44" spans="2:3" x14ac:dyDescent="0.2">
      <c r="B44" s="8">
        <v>209</v>
      </c>
      <c r="C44" s="8">
        <v>231</v>
      </c>
    </row>
    <row r="45" spans="2:3" x14ac:dyDescent="0.2">
      <c r="B45" s="8">
        <v>376</v>
      </c>
      <c r="C45" s="8">
        <v>389</v>
      </c>
    </row>
    <row r="46" spans="2:3" x14ac:dyDescent="0.2">
      <c r="B46" s="8">
        <v>332</v>
      </c>
      <c r="C46" s="8">
        <v>396</v>
      </c>
    </row>
    <row r="47" spans="2:3" x14ac:dyDescent="0.2">
      <c r="B47" s="8">
        <v>249</v>
      </c>
      <c r="C47" s="8">
        <v>339</v>
      </c>
    </row>
    <row r="48" spans="2:3" x14ac:dyDescent="0.2">
      <c r="B48" s="8">
        <v>228</v>
      </c>
      <c r="C48" s="8">
        <v>286</v>
      </c>
    </row>
    <row r="49" spans="2:3" x14ac:dyDescent="0.2">
      <c r="B49" s="8">
        <v>124</v>
      </c>
      <c r="C49" s="8">
        <v>146</v>
      </c>
    </row>
    <row r="50" spans="2:3" x14ac:dyDescent="0.2">
      <c r="B50" s="8">
        <v>194</v>
      </c>
      <c r="C50" s="8">
        <v>315</v>
      </c>
    </row>
    <row r="51" spans="2:3" x14ac:dyDescent="0.2">
      <c r="B51" s="8">
        <v>157</v>
      </c>
      <c r="C51" s="8">
        <v>183</v>
      </c>
    </row>
    <row r="52" spans="2:3" x14ac:dyDescent="0.2">
      <c r="B52" s="8">
        <v>402</v>
      </c>
      <c r="C52" s="8">
        <v>481</v>
      </c>
    </row>
    <row r="53" spans="2:3" x14ac:dyDescent="0.2">
      <c r="B53" s="8">
        <v>323</v>
      </c>
      <c r="C53" s="8">
        <v>349</v>
      </c>
    </row>
    <row r="54" spans="2:3" x14ac:dyDescent="0.2">
      <c r="B54" s="8">
        <v>181</v>
      </c>
      <c r="C54" s="8">
        <v>225</v>
      </c>
    </row>
    <row r="55" spans="2:3" x14ac:dyDescent="0.2">
      <c r="B55" s="8">
        <v>157</v>
      </c>
      <c r="C55" s="8">
        <v>217</v>
      </c>
    </row>
    <row r="56" spans="2:3" x14ac:dyDescent="0.2">
      <c r="B56" s="8">
        <v>266</v>
      </c>
      <c r="C56" s="8">
        <v>353</v>
      </c>
    </row>
    <row r="57" spans="2:3" x14ac:dyDescent="0.2">
      <c r="B57" s="8">
        <v>268</v>
      </c>
      <c r="C57" s="8">
        <v>314</v>
      </c>
    </row>
    <row r="58" spans="2:3" x14ac:dyDescent="0.2">
      <c r="B58" s="8">
        <v>167</v>
      </c>
      <c r="C58" s="8">
        <v>247</v>
      </c>
    </row>
    <row r="59" spans="2:3" x14ac:dyDescent="0.2">
      <c r="B59" s="8">
        <v>342</v>
      </c>
      <c r="C59" s="8">
        <v>410</v>
      </c>
    </row>
    <row r="60" spans="2:3" x14ac:dyDescent="0.2">
      <c r="B60" s="8">
        <v>349</v>
      </c>
      <c r="C60" s="8">
        <v>395</v>
      </c>
    </row>
    <row r="61" spans="2:3" x14ac:dyDescent="0.2">
      <c r="B61" s="8">
        <v>340</v>
      </c>
      <c r="C61" s="8">
        <v>416</v>
      </c>
    </row>
    <row r="62" spans="2:3" x14ac:dyDescent="0.2">
      <c r="B62" s="8">
        <v>227</v>
      </c>
      <c r="C62" s="8">
        <v>342</v>
      </c>
    </row>
    <row r="63" spans="2:3" x14ac:dyDescent="0.2">
      <c r="B63" s="8">
        <v>409</v>
      </c>
      <c r="C63" s="8">
        <v>446</v>
      </c>
    </row>
    <row r="64" spans="2:3" x14ac:dyDescent="0.2">
      <c r="B64" s="8">
        <v>400</v>
      </c>
      <c r="C64" s="8">
        <v>477</v>
      </c>
    </row>
    <row r="65" spans="2:3" x14ac:dyDescent="0.2">
      <c r="B65" s="8">
        <v>374</v>
      </c>
      <c r="C65" s="8">
        <v>444</v>
      </c>
    </row>
    <row r="66" spans="2:3" x14ac:dyDescent="0.2">
      <c r="B66" s="8">
        <v>255</v>
      </c>
      <c r="C66" s="8">
        <v>351</v>
      </c>
    </row>
    <row r="67" spans="2:3" x14ac:dyDescent="0.2">
      <c r="B67" s="8">
        <v>146</v>
      </c>
      <c r="C67" s="8">
        <v>165</v>
      </c>
    </row>
    <row r="68" spans="2:3" x14ac:dyDescent="0.2">
      <c r="B68" s="8">
        <v>248</v>
      </c>
      <c r="C68" s="8">
        <v>317</v>
      </c>
    </row>
    <row r="69" spans="2:3" x14ac:dyDescent="0.2">
      <c r="B69" s="8">
        <v>198</v>
      </c>
      <c r="C69" s="8">
        <v>250</v>
      </c>
    </row>
    <row r="70" spans="2:3" x14ac:dyDescent="0.2">
      <c r="B70" s="8">
        <v>210</v>
      </c>
      <c r="C70" s="8">
        <v>217</v>
      </c>
    </row>
    <row r="71" spans="2:3" x14ac:dyDescent="0.2">
      <c r="B71" s="8">
        <v>107</v>
      </c>
      <c r="C71" s="8">
        <v>138</v>
      </c>
    </row>
    <row r="72" spans="2:3" x14ac:dyDescent="0.2">
      <c r="B72" s="8">
        <v>239</v>
      </c>
      <c r="C72" s="8">
        <v>302</v>
      </c>
    </row>
    <row r="73" spans="2:3" x14ac:dyDescent="0.2">
      <c r="B73" s="8">
        <v>287</v>
      </c>
      <c r="C73" s="8">
        <v>311</v>
      </c>
    </row>
    <row r="74" spans="2:3" x14ac:dyDescent="0.2">
      <c r="B74" s="8">
        <v>340</v>
      </c>
      <c r="C74" s="8">
        <v>373</v>
      </c>
    </row>
    <row r="75" spans="2:3" x14ac:dyDescent="0.2">
      <c r="B75" s="8">
        <v>155</v>
      </c>
      <c r="C75" s="8">
        <v>196</v>
      </c>
    </row>
    <row r="76" spans="2:3" x14ac:dyDescent="0.2">
      <c r="B76" s="8">
        <v>263</v>
      </c>
      <c r="C76" s="8">
        <v>306</v>
      </c>
    </row>
    <row r="77" spans="2:3" x14ac:dyDescent="0.2">
      <c r="B77" s="8">
        <v>265</v>
      </c>
      <c r="C77" s="8">
        <v>302</v>
      </c>
    </row>
    <row r="78" spans="2:3" x14ac:dyDescent="0.2">
      <c r="B78" s="8">
        <v>249</v>
      </c>
      <c r="C78" s="8">
        <v>278</v>
      </c>
    </row>
    <row r="79" spans="2:3" x14ac:dyDescent="0.2">
      <c r="B79" s="8">
        <v>377</v>
      </c>
      <c r="C79" s="8">
        <v>429</v>
      </c>
    </row>
    <row r="80" spans="2:3" x14ac:dyDescent="0.2">
      <c r="B80" s="8">
        <v>301</v>
      </c>
      <c r="C80" s="8">
        <v>338</v>
      </c>
    </row>
    <row r="81" spans="2:3" x14ac:dyDescent="0.2">
      <c r="B81" s="8">
        <v>242</v>
      </c>
      <c r="C81" s="8">
        <v>261</v>
      </c>
    </row>
    <row r="82" spans="2:3" x14ac:dyDescent="0.2">
      <c r="B82" s="8">
        <v>211</v>
      </c>
      <c r="C82" s="8">
        <v>256</v>
      </c>
    </row>
    <row r="83" spans="2:3" x14ac:dyDescent="0.2">
      <c r="B83" s="8">
        <v>160</v>
      </c>
      <c r="C83" s="8">
        <v>183</v>
      </c>
    </row>
    <row r="84" spans="2:3" x14ac:dyDescent="0.2">
      <c r="B84" s="8">
        <v>218</v>
      </c>
      <c r="C84" s="8">
        <v>274</v>
      </c>
    </row>
    <row r="85" spans="2:3" x14ac:dyDescent="0.2">
      <c r="B85" s="8">
        <v>133</v>
      </c>
      <c r="C85" s="8">
        <v>182</v>
      </c>
    </row>
    <row r="86" spans="2:3" x14ac:dyDescent="0.2">
      <c r="B86" s="8">
        <v>122</v>
      </c>
      <c r="C86" s="8">
        <v>183</v>
      </c>
    </row>
    <row r="87" spans="2:3" x14ac:dyDescent="0.2">
      <c r="B87" s="8">
        <v>236</v>
      </c>
      <c r="C87" s="8">
        <v>309</v>
      </c>
    </row>
    <row r="88" spans="2:3" x14ac:dyDescent="0.2">
      <c r="B88" s="8">
        <v>143</v>
      </c>
      <c r="C88" s="8">
        <v>178</v>
      </c>
    </row>
    <row r="89" spans="2:3" x14ac:dyDescent="0.2">
      <c r="B89" s="8">
        <v>354</v>
      </c>
      <c r="C89" s="8">
        <v>458</v>
      </c>
    </row>
    <row r="90" spans="2:3" x14ac:dyDescent="0.2">
      <c r="B90" s="8">
        <v>214</v>
      </c>
      <c r="C90" s="8">
        <v>234</v>
      </c>
    </row>
    <row r="91" spans="2:3" x14ac:dyDescent="0.2">
      <c r="B91" s="8">
        <v>225</v>
      </c>
      <c r="C91" s="8">
        <v>306</v>
      </c>
    </row>
    <row r="92" spans="2:3" x14ac:dyDescent="0.2">
      <c r="B92" s="8">
        <v>261</v>
      </c>
      <c r="C92" s="8">
        <v>400</v>
      </c>
    </row>
    <row r="93" spans="2:3" x14ac:dyDescent="0.2">
      <c r="B93" s="8">
        <v>277</v>
      </c>
      <c r="C93" s="8">
        <v>337</v>
      </c>
    </row>
    <row r="94" spans="2:3" x14ac:dyDescent="0.2">
      <c r="B94" s="8">
        <v>282</v>
      </c>
      <c r="C94" s="8">
        <v>325</v>
      </c>
    </row>
    <row r="95" spans="2:3" x14ac:dyDescent="0.2">
      <c r="B95" s="8">
        <v>322</v>
      </c>
      <c r="C95" s="8">
        <v>329</v>
      </c>
    </row>
    <row r="96" spans="2:3" x14ac:dyDescent="0.2">
      <c r="B96" s="8">
        <v>326</v>
      </c>
      <c r="C96" s="8">
        <v>369</v>
      </c>
    </row>
    <row r="97" spans="2:3" x14ac:dyDescent="0.2">
      <c r="B97" s="8">
        <v>421</v>
      </c>
      <c r="C97" s="8">
        <v>457</v>
      </c>
    </row>
    <row r="98" spans="2:3" x14ac:dyDescent="0.2">
      <c r="B98" s="8">
        <v>368</v>
      </c>
      <c r="C98" s="8">
        <v>421</v>
      </c>
    </row>
    <row r="99" spans="2:3" x14ac:dyDescent="0.2">
      <c r="B99" s="8">
        <v>279</v>
      </c>
      <c r="C99" s="8">
        <v>282</v>
      </c>
    </row>
    <row r="100" spans="2:3" x14ac:dyDescent="0.2">
      <c r="B100" s="8">
        <v>268</v>
      </c>
      <c r="C100" s="8">
        <v>256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6012A-2340-4D8A-8182-E6E8F631D369}">
  <sheetPr codeName="Sheet13">
    <tabColor theme="4" tint="0.79998168889431442"/>
  </sheetPr>
  <dimension ref="B1:H100"/>
  <sheetViews>
    <sheetView showGridLines="0" topLeftCell="B1" workbookViewId="0">
      <selection activeCell="G8" sqref="G8"/>
    </sheetView>
  </sheetViews>
  <sheetFormatPr baseColWidth="10" defaultColWidth="8.83203125" defaultRowHeight="15" x14ac:dyDescent="0.2"/>
  <cols>
    <col min="1" max="1" width="2.83203125" customWidth="1"/>
    <col min="2" max="2" width="21.5" bestFit="1" customWidth="1"/>
    <col min="3" max="3" width="19.83203125" bestFit="1" customWidth="1"/>
    <col min="4" max="4" width="26.33203125" bestFit="1" customWidth="1"/>
    <col min="6" max="6" width="20" customWidth="1"/>
    <col min="7" max="7" width="11.5" customWidth="1"/>
  </cols>
  <sheetData>
    <row r="1" spans="2:8" ht="25.5" customHeight="1" x14ac:dyDescent="0.25">
      <c r="B1" s="18" t="s">
        <v>317</v>
      </c>
    </row>
    <row r="2" spans="2:8" ht="15" customHeight="1" x14ac:dyDescent="0.2">
      <c r="B2" s="30" t="s">
        <v>10</v>
      </c>
    </row>
    <row r="3" spans="2:8" ht="18" customHeight="1" x14ac:dyDescent="0.2"/>
    <row r="4" spans="2:8" x14ac:dyDescent="0.2">
      <c r="F4" s="3" t="s">
        <v>54</v>
      </c>
    </row>
    <row r="5" spans="2:8" x14ac:dyDescent="0.2">
      <c r="B5" s="40" t="s">
        <v>22</v>
      </c>
      <c r="C5" s="43" t="s">
        <v>23</v>
      </c>
      <c r="D5" s="100" t="s">
        <v>243</v>
      </c>
      <c r="F5" s="115" t="s">
        <v>318</v>
      </c>
      <c r="G5" s="115"/>
    </row>
    <row r="6" spans="2:8" x14ac:dyDescent="0.2">
      <c r="B6" s="8">
        <v>252</v>
      </c>
      <c r="C6" s="8">
        <v>276</v>
      </c>
      <c r="D6" s="8">
        <f>C6-B6</f>
        <v>24</v>
      </c>
      <c r="F6" s="20" t="s">
        <v>46</v>
      </c>
      <c r="G6" s="73">
        <f>AVERAGE(D6:D100)</f>
        <v>49.442105263157892</v>
      </c>
      <c r="H6" t="s">
        <v>336</v>
      </c>
    </row>
    <row r="7" spans="2:8" x14ac:dyDescent="0.2">
      <c r="B7" s="8">
        <v>423</v>
      </c>
      <c r="C7" s="8">
        <v>410</v>
      </c>
      <c r="D7" s="8">
        <f t="shared" ref="D7:D70" si="0">C7-B7</f>
        <v>-13</v>
      </c>
      <c r="F7" s="20" t="s">
        <v>68</v>
      </c>
      <c r="G7" s="74">
        <f>_xlfn.VAR.S(D6:D100)</f>
        <v>879.41948488241894</v>
      </c>
    </row>
    <row r="8" spans="2:8" x14ac:dyDescent="0.2">
      <c r="B8" s="8">
        <v>101</v>
      </c>
      <c r="C8" s="8">
        <v>119</v>
      </c>
      <c r="D8" s="8">
        <f t="shared" si="0"/>
        <v>18</v>
      </c>
      <c r="F8" s="20" t="s">
        <v>69</v>
      </c>
      <c r="G8" s="72">
        <f>_xlfn.STDEV.S(D6:D100)</f>
        <v>29.655007753875548</v>
      </c>
      <c r="H8" t="s">
        <v>337</v>
      </c>
    </row>
    <row r="9" spans="2:8" x14ac:dyDescent="0.2">
      <c r="B9" s="8">
        <v>288</v>
      </c>
      <c r="C9" s="8">
        <v>334</v>
      </c>
      <c r="D9" s="8">
        <f t="shared" si="0"/>
        <v>46</v>
      </c>
    </row>
    <row r="10" spans="2:8" x14ac:dyDescent="0.2">
      <c r="B10" s="8">
        <v>248</v>
      </c>
      <c r="C10" s="8">
        <v>252</v>
      </c>
      <c r="D10" s="8">
        <f t="shared" si="0"/>
        <v>4</v>
      </c>
    </row>
    <row r="11" spans="2:8" x14ac:dyDescent="0.2">
      <c r="B11" s="8">
        <v>145</v>
      </c>
      <c r="C11" s="8">
        <v>209</v>
      </c>
      <c r="D11" s="8">
        <f t="shared" si="0"/>
        <v>64</v>
      </c>
    </row>
    <row r="12" spans="2:8" x14ac:dyDescent="0.2">
      <c r="B12" s="8">
        <v>401</v>
      </c>
      <c r="C12" s="8">
        <v>462</v>
      </c>
      <c r="D12" s="8">
        <f t="shared" si="0"/>
        <v>61</v>
      </c>
    </row>
    <row r="13" spans="2:8" x14ac:dyDescent="0.2">
      <c r="B13" s="8">
        <v>287</v>
      </c>
      <c r="C13" s="8">
        <v>342</v>
      </c>
      <c r="D13" s="8">
        <f t="shared" si="0"/>
        <v>55</v>
      </c>
    </row>
    <row r="14" spans="2:8" x14ac:dyDescent="0.2">
      <c r="B14" s="8">
        <v>275</v>
      </c>
      <c r="C14" s="8">
        <v>347</v>
      </c>
      <c r="D14" s="8">
        <f t="shared" si="0"/>
        <v>72</v>
      </c>
    </row>
    <row r="15" spans="2:8" x14ac:dyDescent="0.2">
      <c r="B15" s="8">
        <v>254</v>
      </c>
      <c r="C15" s="8">
        <v>313</v>
      </c>
      <c r="D15" s="8">
        <f t="shared" si="0"/>
        <v>59</v>
      </c>
    </row>
    <row r="16" spans="2:8" x14ac:dyDescent="0.2">
      <c r="B16" s="8">
        <v>182</v>
      </c>
      <c r="C16" s="8">
        <v>232</v>
      </c>
      <c r="D16" s="8">
        <f t="shared" si="0"/>
        <v>50</v>
      </c>
    </row>
    <row r="17" spans="2:4" x14ac:dyDescent="0.2">
      <c r="B17" s="8">
        <v>117</v>
      </c>
      <c r="C17" s="8">
        <v>163</v>
      </c>
      <c r="D17" s="8">
        <f t="shared" si="0"/>
        <v>46</v>
      </c>
    </row>
    <row r="18" spans="2:4" x14ac:dyDescent="0.2">
      <c r="B18" s="8">
        <v>130</v>
      </c>
      <c r="C18" s="8">
        <v>119</v>
      </c>
      <c r="D18" s="8">
        <f t="shared" si="0"/>
        <v>-11</v>
      </c>
    </row>
    <row r="19" spans="2:4" x14ac:dyDescent="0.2">
      <c r="B19" s="8">
        <v>219</v>
      </c>
      <c r="C19" s="8">
        <v>304</v>
      </c>
      <c r="D19" s="8">
        <f t="shared" si="0"/>
        <v>85</v>
      </c>
    </row>
    <row r="20" spans="2:4" x14ac:dyDescent="0.2">
      <c r="B20" s="8">
        <v>152</v>
      </c>
      <c r="C20" s="8">
        <v>211</v>
      </c>
      <c r="D20" s="8">
        <f t="shared" si="0"/>
        <v>59</v>
      </c>
    </row>
    <row r="21" spans="2:4" x14ac:dyDescent="0.2">
      <c r="B21" s="8">
        <v>228</v>
      </c>
      <c r="C21" s="8">
        <v>286</v>
      </c>
      <c r="D21" s="8">
        <f t="shared" si="0"/>
        <v>58</v>
      </c>
    </row>
    <row r="22" spans="2:4" x14ac:dyDescent="0.2">
      <c r="B22" s="8">
        <v>62</v>
      </c>
      <c r="C22" s="8">
        <v>122</v>
      </c>
      <c r="D22" s="8">
        <f t="shared" si="0"/>
        <v>60</v>
      </c>
    </row>
    <row r="23" spans="2:4" x14ac:dyDescent="0.2">
      <c r="B23" s="8">
        <v>393</v>
      </c>
      <c r="C23" s="8">
        <v>443</v>
      </c>
      <c r="D23" s="8">
        <f t="shared" si="0"/>
        <v>50</v>
      </c>
    </row>
    <row r="24" spans="2:4" x14ac:dyDescent="0.2">
      <c r="B24" s="8">
        <v>277</v>
      </c>
      <c r="C24" s="8">
        <v>366</v>
      </c>
      <c r="D24" s="8">
        <f t="shared" si="0"/>
        <v>89</v>
      </c>
    </row>
    <row r="25" spans="2:4" x14ac:dyDescent="0.2">
      <c r="B25" s="8">
        <v>206</v>
      </c>
      <c r="C25" s="8">
        <v>244</v>
      </c>
      <c r="D25" s="8">
        <f t="shared" si="0"/>
        <v>38</v>
      </c>
    </row>
    <row r="26" spans="2:4" x14ac:dyDescent="0.2">
      <c r="B26" s="8">
        <v>229</v>
      </c>
      <c r="C26" s="8">
        <v>241</v>
      </c>
      <c r="D26" s="8">
        <f t="shared" si="0"/>
        <v>12</v>
      </c>
    </row>
    <row r="27" spans="2:4" x14ac:dyDescent="0.2">
      <c r="B27" s="8">
        <v>182</v>
      </c>
      <c r="C27" s="8">
        <v>237</v>
      </c>
      <c r="D27" s="8">
        <f t="shared" si="0"/>
        <v>55</v>
      </c>
    </row>
    <row r="28" spans="2:4" x14ac:dyDescent="0.2">
      <c r="B28" s="8">
        <v>98</v>
      </c>
      <c r="C28" s="8">
        <v>122</v>
      </c>
      <c r="D28" s="8">
        <f t="shared" si="0"/>
        <v>24</v>
      </c>
    </row>
    <row r="29" spans="2:4" x14ac:dyDescent="0.2">
      <c r="B29" s="8">
        <v>125</v>
      </c>
      <c r="C29" s="8">
        <v>129</v>
      </c>
      <c r="D29" s="8">
        <f t="shared" si="0"/>
        <v>4</v>
      </c>
    </row>
    <row r="30" spans="2:4" x14ac:dyDescent="0.2">
      <c r="B30" s="8">
        <v>164</v>
      </c>
      <c r="C30" s="8">
        <v>236</v>
      </c>
      <c r="D30" s="8">
        <f t="shared" si="0"/>
        <v>72</v>
      </c>
    </row>
    <row r="31" spans="2:4" x14ac:dyDescent="0.2">
      <c r="B31" s="8">
        <v>186</v>
      </c>
      <c r="C31" s="8">
        <v>251</v>
      </c>
      <c r="D31" s="8">
        <f t="shared" si="0"/>
        <v>65</v>
      </c>
    </row>
    <row r="32" spans="2:4" x14ac:dyDescent="0.2">
      <c r="B32" s="8">
        <v>235</v>
      </c>
      <c r="C32" s="8">
        <v>283</v>
      </c>
      <c r="D32" s="8">
        <f t="shared" si="0"/>
        <v>48</v>
      </c>
    </row>
    <row r="33" spans="2:4" x14ac:dyDescent="0.2">
      <c r="B33" s="8">
        <v>184</v>
      </c>
      <c r="C33" s="8">
        <v>225</v>
      </c>
      <c r="D33" s="8">
        <f t="shared" si="0"/>
        <v>41</v>
      </c>
    </row>
    <row r="34" spans="2:4" x14ac:dyDescent="0.2">
      <c r="B34" s="8">
        <v>76</v>
      </c>
      <c r="C34" s="8">
        <v>102</v>
      </c>
      <c r="D34" s="8">
        <f t="shared" si="0"/>
        <v>26</v>
      </c>
    </row>
    <row r="35" spans="2:4" x14ac:dyDescent="0.2">
      <c r="B35" s="8">
        <v>126</v>
      </c>
      <c r="C35" s="8">
        <v>180</v>
      </c>
      <c r="D35" s="8">
        <f t="shared" si="0"/>
        <v>54</v>
      </c>
    </row>
    <row r="36" spans="2:4" x14ac:dyDescent="0.2">
      <c r="B36" s="8">
        <v>183</v>
      </c>
      <c r="C36" s="8">
        <v>247</v>
      </c>
      <c r="D36" s="8">
        <f t="shared" si="0"/>
        <v>64</v>
      </c>
    </row>
    <row r="37" spans="2:4" x14ac:dyDescent="0.2">
      <c r="B37" s="8">
        <v>242</v>
      </c>
      <c r="C37" s="8">
        <v>343</v>
      </c>
      <c r="D37" s="8">
        <f t="shared" si="0"/>
        <v>101</v>
      </c>
    </row>
    <row r="38" spans="2:4" x14ac:dyDescent="0.2">
      <c r="B38" s="8">
        <v>207</v>
      </c>
      <c r="C38" s="8">
        <v>283</v>
      </c>
      <c r="D38" s="8">
        <f t="shared" si="0"/>
        <v>76</v>
      </c>
    </row>
    <row r="39" spans="2:4" x14ac:dyDescent="0.2">
      <c r="B39" s="8">
        <v>181</v>
      </c>
      <c r="C39" s="8">
        <v>253</v>
      </c>
      <c r="D39" s="8">
        <f t="shared" si="0"/>
        <v>72</v>
      </c>
    </row>
    <row r="40" spans="2:4" x14ac:dyDescent="0.2">
      <c r="B40" s="8">
        <v>239</v>
      </c>
      <c r="C40" s="8">
        <v>263</v>
      </c>
      <c r="D40" s="8">
        <f t="shared" si="0"/>
        <v>24</v>
      </c>
    </row>
    <row r="41" spans="2:4" x14ac:dyDescent="0.2">
      <c r="B41" s="8">
        <v>216</v>
      </c>
      <c r="C41" s="8">
        <v>291</v>
      </c>
      <c r="D41" s="8">
        <f t="shared" si="0"/>
        <v>75</v>
      </c>
    </row>
    <row r="42" spans="2:4" x14ac:dyDescent="0.2">
      <c r="B42" s="8">
        <v>289</v>
      </c>
      <c r="C42" s="8">
        <v>368</v>
      </c>
      <c r="D42" s="8">
        <f t="shared" si="0"/>
        <v>79</v>
      </c>
    </row>
    <row r="43" spans="2:4" x14ac:dyDescent="0.2">
      <c r="B43" s="8">
        <v>213</v>
      </c>
      <c r="C43" s="8">
        <v>206</v>
      </c>
      <c r="D43" s="8">
        <f t="shared" si="0"/>
        <v>-7</v>
      </c>
    </row>
    <row r="44" spans="2:4" x14ac:dyDescent="0.2">
      <c r="B44" s="8">
        <v>209</v>
      </c>
      <c r="C44" s="8">
        <v>231</v>
      </c>
      <c r="D44" s="8">
        <f t="shared" si="0"/>
        <v>22</v>
      </c>
    </row>
    <row r="45" spans="2:4" x14ac:dyDescent="0.2">
      <c r="B45" s="8">
        <v>376</v>
      </c>
      <c r="C45" s="8">
        <v>389</v>
      </c>
      <c r="D45" s="8">
        <f t="shared" si="0"/>
        <v>13</v>
      </c>
    </row>
    <row r="46" spans="2:4" x14ac:dyDescent="0.2">
      <c r="B46" s="8">
        <v>332</v>
      </c>
      <c r="C46" s="8">
        <v>396</v>
      </c>
      <c r="D46" s="8">
        <f t="shared" si="0"/>
        <v>64</v>
      </c>
    </row>
    <row r="47" spans="2:4" x14ac:dyDescent="0.2">
      <c r="B47" s="8">
        <v>249</v>
      </c>
      <c r="C47" s="8">
        <v>339</v>
      </c>
      <c r="D47" s="8">
        <f t="shared" si="0"/>
        <v>90</v>
      </c>
    </row>
    <row r="48" spans="2:4" x14ac:dyDescent="0.2">
      <c r="B48" s="8">
        <v>228</v>
      </c>
      <c r="C48" s="8">
        <v>286</v>
      </c>
      <c r="D48" s="8">
        <f t="shared" si="0"/>
        <v>58</v>
      </c>
    </row>
    <row r="49" spans="2:4" x14ac:dyDescent="0.2">
      <c r="B49" s="8">
        <v>124</v>
      </c>
      <c r="C49" s="8">
        <v>146</v>
      </c>
      <c r="D49" s="8">
        <f t="shared" si="0"/>
        <v>22</v>
      </c>
    </row>
    <row r="50" spans="2:4" x14ac:dyDescent="0.2">
      <c r="B50" s="8">
        <v>194</v>
      </c>
      <c r="C50" s="8">
        <v>315</v>
      </c>
      <c r="D50" s="8">
        <f t="shared" si="0"/>
        <v>121</v>
      </c>
    </row>
    <row r="51" spans="2:4" x14ac:dyDescent="0.2">
      <c r="B51" s="8">
        <v>157</v>
      </c>
      <c r="C51" s="8">
        <v>183</v>
      </c>
      <c r="D51" s="8">
        <f t="shared" si="0"/>
        <v>26</v>
      </c>
    </row>
    <row r="52" spans="2:4" x14ac:dyDescent="0.2">
      <c r="B52" s="8">
        <v>402</v>
      </c>
      <c r="C52" s="8">
        <v>481</v>
      </c>
      <c r="D52" s="8">
        <f t="shared" si="0"/>
        <v>79</v>
      </c>
    </row>
    <row r="53" spans="2:4" x14ac:dyDescent="0.2">
      <c r="B53" s="8">
        <v>323</v>
      </c>
      <c r="C53" s="8">
        <v>349</v>
      </c>
      <c r="D53" s="8">
        <f t="shared" si="0"/>
        <v>26</v>
      </c>
    </row>
    <row r="54" spans="2:4" x14ac:dyDescent="0.2">
      <c r="B54" s="8">
        <v>181</v>
      </c>
      <c r="C54" s="8">
        <v>225</v>
      </c>
      <c r="D54" s="8">
        <f t="shared" si="0"/>
        <v>44</v>
      </c>
    </row>
    <row r="55" spans="2:4" x14ac:dyDescent="0.2">
      <c r="B55" s="8">
        <v>157</v>
      </c>
      <c r="C55" s="8">
        <v>217</v>
      </c>
      <c r="D55" s="8">
        <f t="shared" si="0"/>
        <v>60</v>
      </c>
    </row>
    <row r="56" spans="2:4" x14ac:dyDescent="0.2">
      <c r="B56" s="8">
        <v>266</v>
      </c>
      <c r="C56" s="8">
        <v>353</v>
      </c>
      <c r="D56" s="8">
        <f t="shared" si="0"/>
        <v>87</v>
      </c>
    </row>
    <row r="57" spans="2:4" x14ac:dyDescent="0.2">
      <c r="B57" s="8">
        <v>268</v>
      </c>
      <c r="C57" s="8">
        <v>314</v>
      </c>
      <c r="D57" s="8">
        <f t="shared" si="0"/>
        <v>46</v>
      </c>
    </row>
    <row r="58" spans="2:4" x14ac:dyDescent="0.2">
      <c r="B58" s="8">
        <v>167</v>
      </c>
      <c r="C58" s="8">
        <v>247</v>
      </c>
      <c r="D58" s="8">
        <f t="shared" si="0"/>
        <v>80</v>
      </c>
    </row>
    <row r="59" spans="2:4" x14ac:dyDescent="0.2">
      <c r="B59" s="8">
        <v>342</v>
      </c>
      <c r="C59" s="8">
        <v>410</v>
      </c>
      <c r="D59" s="8">
        <f t="shared" si="0"/>
        <v>68</v>
      </c>
    </row>
    <row r="60" spans="2:4" x14ac:dyDescent="0.2">
      <c r="B60" s="8">
        <v>349</v>
      </c>
      <c r="C60" s="8">
        <v>395</v>
      </c>
      <c r="D60" s="8">
        <f t="shared" si="0"/>
        <v>46</v>
      </c>
    </row>
    <row r="61" spans="2:4" x14ac:dyDescent="0.2">
      <c r="B61" s="8">
        <v>340</v>
      </c>
      <c r="C61" s="8">
        <v>416</v>
      </c>
      <c r="D61" s="8">
        <f t="shared" si="0"/>
        <v>76</v>
      </c>
    </row>
    <row r="62" spans="2:4" x14ac:dyDescent="0.2">
      <c r="B62" s="8">
        <v>227</v>
      </c>
      <c r="C62" s="8">
        <v>342</v>
      </c>
      <c r="D62" s="8">
        <f t="shared" si="0"/>
        <v>115</v>
      </c>
    </row>
    <row r="63" spans="2:4" x14ac:dyDescent="0.2">
      <c r="B63" s="8">
        <v>409</v>
      </c>
      <c r="C63" s="8">
        <v>446</v>
      </c>
      <c r="D63" s="8">
        <f t="shared" si="0"/>
        <v>37</v>
      </c>
    </row>
    <row r="64" spans="2:4" x14ac:dyDescent="0.2">
      <c r="B64" s="8">
        <v>400</v>
      </c>
      <c r="C64" s="8">
        <v>477</v>
      </c>
      <c r="D64" s="8">
        <f t="shared" si="0"/>
        <v>77</v>
      </c>
    </row>
    <row r="65" spans="2:4" x14ac:dyDescent="0.2">
      <c r="B65" s="8">
        <v>374</v>
      </c>
      <c r="C65" s="8">
        <v>444</v>
      </c>
      <c r="D65" s="8">
        <f t="shared" si="0"/>
        <v>70</v>
      </c>
    </row>
    <row r="66" spans="2:4" x14ac:dyDescent="0.2">
      <c r="B66" s="8">
        <v>255</v>
      </c>
      <c r="C66" s="8">
        <v>351</v>
      </c>
      <c r="D66" s="8">
        <f t="shared" si="0"/>
        <v>96</v>
      </c>
    </row>
    <row r="67" spans="2:4" x14ac:dyDescent="0.2">
      <c r="B67" s="8">
        <v>146</v>
      </c>
      <c r="C67" s="8">
        <v>165</v>
      </c>
      <c r="D67" s="8">
        <f t="shared" si="0"/>
        <v>19</v>
      </c>
    </row>
    <row r="68" spans="2:4" x14ac:dyDescent="0.2">
      <c r="B68" s="8">
        <v>248</v>
      </c>
      <c r="C68" s="8">
        <v>317</v>
      </c>
      <c r="D68" s="8">
        <f t="shared" si="0"/>
        <v>69</v>
      </c>
    </row>
    <row r="69" spans="2:4" x14ac:dyDescent="0.2">
      <c r="B69" s="8">
        <v>198</v>
      </c>
      <c r="C69" s="8">
        <v>250</v>
      </c>
      <c r="D69" s="8">
        <f t="shared" si="0"/>
        <v>52</v>
      </c>
    </row>
    <row r="70" spans="2:4" x14ac:dyDescent="0.2">
      <c r="B70" s="8">
        <v>210</v>
      </c>
      <c r="C70" s="8">
        <v>217</v>
      </c>
      <c r="D70" s="8">
        <f t="shared" si="0"/>
        <v>7</v>
      </c>
    </row>
    <row r="71" spans="2:4" x14ac:dyDescent="0.2">
      <c r="B71" s="8">
        <v>107</v>
      </c>
      <c r="C71" s="8">
        <v>138</v>
      </c>
      <c r="D71" s="8">
        <f t="shared" ref="D71:D100" si="1">C71-B71</f>
        <v>31</v>
      </c>
    </row>
    <row r="72" spans="2:4" x14ac:dyDescent="0.2">
      <c r="B72" s="8">
        <v>239</v>
      </c>
      <c r="C72" s="8">
        <v>302</v>
      </c>
      <c r="D72" s="8">
        <f t="shared" si="1"/>
        <v>63</v>
      </c>
    </row>
    <row r="73" spans="2:4" x14ac:dyDescent="0.2">
      <c r="B73" s="8">
        <v>287</v>
      </c>
      <c r="C73" s="8">
        <v>311</v>
      </c>
      <c r="D73" s="8">
        <f t="shared" si="1"/>
        <v>24</v>
      </c>
    </row>
    <row r="74" spans="2:4" x14ac:dyDescent="0.2">
      <c r="B74" s="8">
        <v>340</v>
      </c>
      <c r="C74" s="8">
        <v>373</v>
      </c>
      <c r="D74" s="8">
        <f t="shared" si="1"/>
        <v>33</v>
      </c>
    </row>
    <row r="75" spans="2:4" x14ac:dyDescent="0.2">
      <c r="B75" s="8">
        <v>155</v>
      </c>
      <c r="C75" s="8">
        <v>196</v>
      </c>
      <c r="D75" s="8">
        <f t="shared" si="1"/>
        <v>41</v>
      </c>
    </row>
    <row r="76" spans="2:4" x14ac:dyDescent="0.2">
      <c r="B76" s="8">
        <v>263</v>
      </c>
      <c r="C76" s="8">
        <v>306</v>
      </c>
      <c r="D76" s="8">
        <f t="shared" si="1"/>
        <v>43</v>
      </c>
    </row>
    <row r="77" spans="2:4" x14ac:dyDescent="0.2">
      <c r="B77" s="8">
        <v>265</v>
      </c>
      <c r="C77" s="8">
        <v>302</v>
      </c>
      <c r="D77" s="8">
        <f t="shared" si="1"/>
        <v>37</v>
      </c>
    </row>
    <row r="78" spans="2:4" x14ac:dyDescent="0.2">
      <c r="B78" s="8">
        <v>249</v>
      </c>
      <c r="C78" s="8">
        <v>278</v>
      </c>
      <c r="D78" s="8">
        <f t="shared" si="1"/>
        <v>29</v>
      </c>
    </row>
    <row r="79" spans="2:4" x14ac:dyDescent="0.2">
      <c r="B79" s="8">
        <v>377</v>
      </c>
      <c r="C79" s="8">
        <v>429</v>
      </c>
      <c r="D79" s="8">
        <f t="shared" si="1"/>
        <v>52</v>
      </c>
    </row>
    <row r="80" spans="2:4" x14ac:dyDescent="0.2">
      <c r="B80" s="8">
        <v>301</v>
      </c>
      <c r="C80" s="8">
        <v>338</v>
      </c>
      <c r="D80" s="8">
        <f t="shared" si="1"/>
        <v>37</v>
      </c>
    </row>
    <row r="81" spans="2:4" x14ac:dyDescent="0.2">
      <c r="B81" s="8">
        <v>242</v>
      </c>
      <c r="C81" s="8">
        <v>261</v>
      </c>
      <c r="D81" s="8">
        <f t="shared" si="1"/>
        <v>19</v>
      </c>
    </row>
    <row r="82" spans="2:4" x14ac:dyDescent="0.2">
      <c r="B82" s="8">
        <v>211</v>
      </c>
      <c r="C82" s="8">
        <v>256</v>
      </c>
      <c r="D82" s="8">
        <f t="shared" si="1"/>
        <v>45</v>
      </c>
    </row>
    <row r="83" spans="2:4" x14ac:dyDescent="0.2">
      <c r="B83" s="8">
        <v>160</v>
      </c>
      <c r="C83" s="8">
        <v>183</v>
      </c>
      <c r="D83" s="8">
        <f t="shared" si="1"/>
        <v>23</v>
      </c>
    </row>
    <row r="84" spans="2:4" x14ac:dyDescent="0.2">
      <c r="B84" s="8">
        <v>218</v>
      </c>
      <c r="C84" s="8">
        <v>274</v>
      </c>
      <c r="D84" s="8">
        <f t="shared" si="1"/>
        <v>56</v>
      </c>
    </row>
    <row r="85" spans="2:4" x14ac:dyDescent="0.2">
      <c r="B85" s="8">
        <v>133</v>
      </c>
      <c r="C85" s="8">
        <v>182</v>
      </c>
      <c r="D85" s="8">
        <f t="shared" si="1"/>
        <v>49</v>
      </c>
    </row>
    <row r="86" spans="2:4" x14ac:dyDescent="0.2">
      <c r="B86" s="8">
        <v>122</v>
      </c>
      <c r="C86" s="8">
        <v>183</v>
      </c>
      <c r="D86" s="8">
        <f t="shared" si="1"/>
        <v>61</v>
      </c>
    </row>
    <row r="87" spans="2:4" x14ac:dyDescent="0.2">
      <c r="B87" s="8">
        <v>236</v>
      </c>
      <c r="C87" s="8">
        <v>309</v>
      </c>
      <c r="D87" s="8">
        <f t="shared" si="1"/>
        <v>73</v>
      </c>
    </row>
    <row r="88" spans="2:4" x14ac:dyDescent="0.2">
      <c r="B88" s="8">
        <v>143</v>
      </c>
      <c r="C88" s="8">
        <v>178</v>
      </c>
      <c r="D88" s="8">
        <f t="shared" si="1"/>
        <v>35</v>
      </c>
    </row>
    <row r="89" spans="2:4" x14ac:dyDescent="0.2">
      <c r="B89" s="8">
        <v>354</v>
      </c>
      <c r="C89" s="8">
        <v>458</v>
      </c>
      <c r="D89" s="8">
        <f t="shared" si="1"/>
        <v>104</v>
      </c>
    </row>
    <row r="90" spans="2:4" x14ac:dyDescent="0.2">
      <c r="B90" s="8">
        <v>214</v>
      </c>
      <c r="C90" s="8">
        <v>234</v>
      </c>
      <c r="D90" s="8">
        <f t="shared" si="1"/>
        <v>20</v>
      </c>
    </row>
    <row r="91" spans="2:4" x14ac:dyDescent="0.2">
      <c r="B91" s="8">
        <v>225</v>
      </c>
      <c r="C91" s="8">
        <v>306</v>
      </c>
      <c r="D91" s="8">
        <f t="shared" si="1"/>
        <v>81</v>
      </c>
    </row>
    <row r="92" spans="2:4" x14ac:dyDescent="0.2">
      <c r="B92" s="8">
        <v>261</v>
      </c>
      <c r="C92" s="8">
        <v>400</v>
      </c>
      <c r="D92" s="8">
        <f t="shared" si="1"/>
        <v>139</v>
      </c>
    </row>
    <row r="93" spans="2:4" x14ac:dyDescent="0.2">
      <c r="B93" s="8">
        <v>277</v>
      </c>
      <c r="C93" s="8">
        <v>337</v>
      </c>
      <c r="D93" s="8">
        <f t="shared" si="1"/>
        <v>60</v>
      </c>
    </row>
    <row r="94" spans="2:4" x14ac:dyDescent="0.2">
      <c r="B94" s="8">
        <v>282</v>
      </c>
      <c r="C94" s="8">
        <v>325</v>
      </c>
      <c r="D94" s="8">
        <f t="shared" si="1"/>
        <v>43</v>
      </c>
    </row>
    <row r="95" spans="2:4" x14ac:dyDescent="0.2">
      <c r="B95" s="8">
        <v>322</v>
      </c>
      <c r="C95" s="8">
        <v>329</v>
      </c>
      <c r="D95" s="8">
        <f t="shared" si="1"/>
        <v>7</v>
      </c>
    </row>
    <row r="96" spans="2:4" x14ac:dyDescent="0.2">
      <c r="B96" s="8">
        <v>326</v>
      </c>
      <c r="C96" s="8">
        <v>369</v>
      </c>
      <c r="D96" s="8">
        <f t="shared" si="1"/>
        <v>43</v>
      </c>
    </row>
    <row r="97" spans="2:4" x14ac:dyDescent="0.2">
      <c r="B97" s="8">
        <v>421</v>
      </c>
      <c r="C97" s="8">
        <v>457</v>
      </c>
      <c r="D97" s="8">
        <f t="shared" si="1"/>
        <v>36</v>
      </c>
    </row>
    <row r="98" spans="2:4" x14ac:dyDescent="0.2">
      <c r="B98" s="8">
        <v>368</v>
      </c>
      <c r="C98" s="8">
        <v>421</v>
      </c>
      <c r="D98" s="8">
        <f t="shared" si="1"/>
        <v>53</v>
      </c>
    </row>
    <row r="99" spans="2:4" x14ac:dyDescent="0.2">
      <c r="B99" s="8">
        <v>279</v>
      </c>
      <c r="C99" s="8">
        <v>282</v>
      </c>
      <c r="D99" s="8">
        <f t="shared" si="1"/>
        <v>3</v>
      </c>
    </row>
    <row r="100" spans="2:4" x14ac:dyDescent="0.2">
      <c r="B100" s="8">
        <v>268</v>
      </c>
      <c r="C100" s="8">
        <v>256</v>
      </c>
      <c r="D100" s="8">
        <f t="shared" si="1"/>
        <v>-12</v>
      </c>
    </row>
  </sheetData>
  <mergeCells count="1">
    <mergeCell ref="F5:G5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C2946-8151-47CF-AE1C-A50A92F6E483}">
  <sheetPr codeName="Sheet14">
    <tabColor theme="4" tint="0.79998168889431442"/>
  </sheetPr>
  <dimension ref="B1:H100"/>
  <sheetViews>
    <sheetView showGridLines="0" workbookViewId="0">
      <selection activeCell="F7" sqref="F7"/>
    </sheetView>
  </sheetViews>
  <sheetFormatPr baseColWidth="10" defaultColWidth="8.83203125" defaultRowHeight="15" x14ac:dyDescent="0.2"/>
  <cols>
    <col min="1" max="1" width="2.83203125" customWidth="1"/>
    <col min="2" max="2" width="10.6640625" bestFit="1" customWidth="1"/>
    <col min="3" max="3" width="19.83203125" bestFit="1" customWidth="1"/>
    <col min="5" max="5" width="22.6640625" bestFit="1" customWidth="1"/>
    <col min="6" max="6" width="12" bestFit="1" customWidth="1"/>
    <col min="7" max="7" width="13.5" bestFit="1" customWidth="1"/>
  </cols>
  <sheetData>
    <row r="1" spans="2:8" ht="25.5" customHeight="1" x14ac:dyDescent="0.25">
      <c r="B1" s="18" t="s">
        <v>125</v>
      </c>
    </row>
    <row r="2" spans="2:8" ht="15" customHeight="1" x14ac:dyDescent="0.2">
      <c r="B2" s="30" t="s">
        <v>81</v>
      </c>
    </row>
    <row r="3" spans="2:8" ht="18" customHeight="1" x14ac:dyDescent="0.2"/>
    <row r="4" spans="2:8" x14ac:dyDescent="0.2">
      <c r="E4" s="3" t="s">
        <v>54</v>
      </c>
    </row>
    <row r="5" spans="2:8" x14ac:dyDescent="0.2">
      <c r="B5" s="7" t="s">
        <v>77</v>
      </c>
      <c r="C5" s="7" t="s">
        <v>23</v>
      </c>
      <c r="E5" s="115" t="s">
        <v>80</v>
      </c>
      <c r="F5" s="115"/>
      <c r="G5" s="115"/>
    </row>
    <row r="6" spans="2:8" x14ac:dyDescent="0.2">
      <c r="B6" s="8">
        <v>90.2</v>
      </c>
      <c r="C6" s="8">
        <v>276</v>
      </c>
      <c r="F6" s="17" t="s">
        <v>77</v>
      </c>
      <c r="G6" s="17" t="s">
        <v>79</v>
      </c>
    </row>
    <row r="7" spans="2:8" x14ac:dyDescent="0.2">
      <c r="B7" s="8">
        <v>92.8</v>
      </c>
      <c r="C7" s="8">
        <v>410</v>
      </c>
      <c r="E7" s="20" t="s">
        <v>69</v>
      </c>
      <c r="F7" s="75">
        <f>_xlfn.STDEV.S(B6:B100)</f>
        <v>6.1707800411122609</v>
      </c>
      <c r="G7" s="75">
        <f>_xlfn.STDEV.S(C6:C100)</f>
        <v>93.521048765238149</v>
      </c>
    </row>
    <row r="8" spans="2:8" x14ac:dyDescent="0.2">
      <c r="B8" s="8">
        <v>68.7</v>
      </c>
      <c r="C8" s="8">
        <v>119</v>
      </c>
      <c r="E8" s="20" t="s">
        <v>46</v>
      </c>
      <c r="F8" s="76">
        <f>AVERAGE(B6:B100)</f>
        <v>80.169473684210516</v>
      </c>
      <c r="G8" s="76">
        <f>AVERAGE(C6:C100)</f>
        <v>289.34736842105264</v>
      </c>
    </row>
    <row r="9" spans="2:8" x14ac:dyDescent="0.2">
      <c r="B9" s="8">
        <v>80.7</v>
      </c>
      <c r="C9" s="8">
        <v>334</v>
      </c>
      <c r="E9" s="20" t="s">
        <v>78</v>
      </c>
      <c r="F9" s="70">
        <f>F7/F8</f>
        <v>7.6971692060984601E-2</v>
      </c>
      <c r="G9" s="70">
        <f>G7/G8</f>
        <v>0.32321375264470403</v>
      </c>
      <c r="H9" t="s">
        <v>338</v>
      </c>
    </row>
    <row r="10" spans="2:8" x14ac:dyDescent="0.2">
      <c r="B10" s="8">
        <v>74.900000000000006</v>
      </c>
      <c r="C10" s="8">
        <v>252</v>
      </c>
      <c r="E10" s="20"/>
      <c r="F10" s="1"/>
      <c r="G10" s="1"/>
    </row>
    <row r="11" spans="2:8" x14ac:dyDescent="0.2">
      <c r="B11" s="8">
        <v>80.7</v>
      </c>
      <c r="C11" s="8">
        <v>209</v>
      </c>
      <c r="E11" s="20"/>
      <c r="F11" s="1"/>
      <c r="G11" s="1"/>
    </row>
    <row r="12" spans="2:8" x14ac:dyDescent="0.2">
      <c r="B12" s="8">
        <v>83.3</v>
      </c>
      <c r="C12" s="8">
        <v>462</v>
      </c>
      <c r="E12" s="20"/>
      <c r="F12" s="1"/>
      <c r="G12" s="1"/>
    </row>
    <row r="13" spans="2:8" x14ac:dyDescent="0.2">
      <c r="B13" s="8">
        <v>88.7</v>
      </c>
      <c r="C13" s="8">
        <v>342</v>
      </c>
      <c r="E13" s="20"/>
    </row>
    <row r="14" spans="2:8" x14ac:dyDescent="0.2">
      <c r="B14" s="8">
        <v>75.400000000000006</v>
      </c>
      <c r="C14" s="8">
        <v>347</v>
      </c>
    </row>
    <row r="15" spans="2:8" x14ac:dyDescent="0.2">
      <c r="B15" s="8">
        <v>82.1</v>
      </c>
      <c r="C15" s="8">
        <v>313</v>
      </c>
    </row>
    <row r="16" spans="2:8" x14ac:dyDescent="0.2">
      <c r="B16" s="8">
        <v>87.5</v>
      </c>
      <c r="C16" s="8">
        <v>232</v>
      </c>
    </row>
    <row r="17" spans="2:3" x14ac:dyDescent="0.2">
      <c r="B17" s="8">
        <v>66.900000000000006</v>
      </c>
      <c r="C17" s="8">
        <v>163</v>
      </c>
    </row>
    <row r="18" spans="2:3" x14ac:dyDescent="0.2">
      <c r="B18" s="8">
        <v>71.3</v>
      </c>
      <c r="C18" s="8">
        <v>119</v>
      </c>
    </row>
    <row r="19" spans="2:3" x14ac:dyDescent="0.2">
      <c r="B19" s="8">
        <v>76.8</v>
      </c>
      <c r="C19" s="8">
        <v>304</v>
      </c>
    </row>
    <row r="20" spans="2:3" x14ac:dyDescent="0.2">
      <c r="B20" s="8">
        <v>72.3</v>
      </c>
      <c r="C20" s="8">
        <v>211</v>
      </c>
    </row>
    <row r="21" spans="2:3" x14ac:dyDescent="0.2">
      <c r="B21" s="8">
        <v>72.400000000000006</v>
      </c>
      <c r="C21" s="8">
        <v>286</v>
      </c>
    </row>
    <row r="22" spans="2:3" x14ac:dyDescent="0.2">
      <c r="B22" s="8">
        <v>72</v>
      </c>
      <c r="C22" s="8">
        <v>122</v>
      </c>
    </row>
    <row r="23" spans="2:3" x14ac:dyDescent="0.2">
      <c r="B23" s="8">
        <v>81</v>
      </c>
      <c r="C23" s="8">
        <v>443</v>
      </c>
    </row>
    <row r="24" spans="2:3" x14ac:dyDescent="0.2">
      <c r="B24" s="8">
        <v>96.1</v>
      </c>
      <c r="C24" s="8">
        <v>366</v>
      </c>
    </row>
    <row r="25" spans="2:3" x14ac:dyDescent="0.2">
      <c r="B25" s="8">
        <v>76.7</v>
      </c>
      <c r="C25" s="8">
        <v>244</v>
      </c>
    </row>
    <row r="26" spans="2:3" x14ac:dyDescent="0.2">
      <c r="B26" s="8">
        <v>80.3</v>
      </c>
      <c r="C26" s="8">
        <v>241</v>
      </c>
    </row>
    <row r="27" spans="2:3" x14ac:dyDescent="0.2">
      <c r="B27" s="8">
        <v>77.8</v>
      </c>
      <c r="C27" s="8">
        <v>237</v>
      </c>
    </row>
    <row r="28" spans="2:3" x14ac:dyDescent="0.2">
      <c r="B28" s="8">
        <v>62.6</v>
      </c>
      <c r="C28" s="8">
        <v>122</v>
      </c>
    </row>
    <row r="29" spans="2:3" x14ac:dyDescent="0.2">
      <c r="B29" s="8">
        <v>80.2</v>
      </c>
      <c r="C29" s="8">
        <v>129</v>
      </c>
    </row>
    <row r="30" spans="2:3" x14ac:dyDescent="0.2">
      <c r="B30" s="8">
        <v>79.099999999999994</v>
      </c>
      <c r="C30" s="8">
        <v>236</v>
      </c>
    </row>
    <row r="31" spans="2:3" x14ac:dyDescent="0.2">
      <c r="B31" s="8">
        <v>77.8</v>
      </c>
      <c r="C31" s="8">
        <v>251</v>
      </c>
    </row>
    <row r="32" spans="2:3" x14ac:dyDescent="0.2">
      <c r="B32" s="8">
        <v>75.099999999999994</v>
      </c>
      <c r="C32" s="8">
        <v>283</v>
      </c>
    </row>
    <row r="33" spans="2:3" x14ac:dyDescent="0.2">
      <c r="B33" s="8">
        <v>82.2</v>
      </c>
      <c r="C33" s="8">
        <v>225</v>
      </c>
    </row>
    <row r="34" spans="2:3" x14ac:dyDescent="0.2">
      <c r="B34" s="8">
        <v>70.5</v>
      </c>
      <c r="C34" s="8">
        <v>102</v>
      </c>
    </row>
    <row r="35" spans="2:3" x14ac:dyDescent="0.2">
      <c r="B35" s="8">
        <v>70.8</v>
      </c>
      <c r="C35" s="8">
        <v>180</v>
      </c>
    </row>
    <row r="36" spans="2:3" x14ac:dyDescent="0.2">
      <c r="B36" s="8">
        <v>87.5</v>
      </c>
      <c r="C36" s="8">
        <v>247</v>
      </c>
    </row>
    <row r="37" spans="2:3" x14ac:dyDescent="0.2">
      <c r="B37" s="8">
        <v>79.5</v>
      </c>
      <c r="C37" s="8">
        <v>343</v>
      </c>
    </row>
    <row r="38" spans="2:3" x14ac:dyDescent="0.2">
      <c r="B38" s="8">
        <v>80.8</v>
      </c>
      <c r="C38" s="8">
        <v>283</v>
      </c>
    </row>
    <row r="39" spans="2:3" x14ac:dyDescent="0.2">
      <c r="B39" s="8">
        <v>79.599999999999994</v>
      </c>
      <c r="C39" s="8">
        <v>253</v>
      </c>
    </row>
    <row r="40" spans="2:3" x14ac:dyDescent="0.2">
      <c r="B40" s="8">
        <v>88.9</v>
      </c>
      <c r="C40" s="8">
        <v>263</v>
      </c>
    </row>
    <row r="41" spans="2:3" x14ac:dyDescent="0.2">
      <c r="B41" s="8">
        <v>85.9</v>
      </c>
      <c r="C41" s="8">
        <v>291</v>
      </c>
    </row>
    <row r="42" spans="2:3" x14ac:dyDescent="0.2">
      <c r="B42" s="8">
        <v>82.3</v>
      </c>
      <c r="C42" s="8">
        <v>368</v>
      </c>
    </row>
    <row r="43" spans="2:3" x14ac:dyDescent="0.2">
      <c r="B43" s="8">
        <v>76.7</v>
      </c>
      <c r="C43" s="8">
        <v>206</v>
      </c>
    </row>
    <row r="44" spans="2:3" x14ac:dyDescent="0.2">
      <c r="B44" s="8">
        <v>79.900000000000006</v>
      </c>
      <c r="C44" s="8">
        <v>231</v>
      </c>
    </row>
    <row r="45" spans="2:3" x14ac:dyDescent="0.2">
      <c r="B45" s="8">
        <v>86.2</v>
      </c>
      <c r="C45" s="8">
        <v>389</v>
      </c>
    </row>
    <row r="46" spans="2:3" x14ac:dyDescent="0.2">
      <c r="B46" s="8">
        <v>79.2</v>
      </c>
      <c r="C46" s="8">
        <v>396</v>
      </c>
    </row>
    <row r="47" spans="2:3" x14ac:dyDescent="0.2">
      <c r="B47" s="8">
        <v>83.4</v>
      </c>
      <c r="C47" s="8">
        <v>339</v>
      </c>
    </row>
    <row r="48" spans="2:3" x14ac:dyDescent="0.2">
      <c r="B48" s="8">
        <v>85.2</v>
      </c>
      <c r="C48" s="8">
        <v>286</v>
      </c>
    </row>
    <row r="49" spans="2:3" x14ac:dyDescent="0.2">
      <c r="B49" s="8">
        <v>77.8</v>
      </c>
      <c r="C49" s="8">
        <v>146</v>
      </c>
    </row>
    <row r="50" spans="2:3" x14ac:dyDescent="0.2">
      <c r="B50" s="8">
        <v>80.2</v>
      </c>
      <c r="C50" s="8">
        <v>315</v>
      </c>
    </row>
    <row r="51" spans="2:3" x14ac:dyDescent="0.2">
      <c r="B51" s="8">
        <v>71</v>
      </c>
      <c r="C51" s="8">
        <v>183</v>
      </c>
    </row>
    <row r="52" spans="2:3" x14ac:dyDescent="0.2">
      <c r="B52" s="8">
        <v>87.2</v>
      </c>
      <c r="C52" s="8">
        <v>481</v>
      </c>
    </row>
    <row r="53" spans="2:3" x14ac:dyDescent="0.2">
      <c r="B53" s="8">
        <v>82.9</v>
      </c>
      <c r="C53" s="8">
        <v>349</v>
      </c>
    </row>
    <row r="54" spans="2:3" x14ac:dyDescent="0.2">
      <c r="B54" s="8">
        <v>73.5</v>
      </c>
      <c r="C54" s="8">
        <v>225</v>
      </c>
    </row>
    <row r="55" spans="2:3" x14ac:dyDescent="0.2">
      <c r="B55" s="8">
        <v>74.599999999999994</v>
      </c>
      <c r="C55" s="8">
        <v>217</v>
      </c>
    </row>
    <row r="56" spans="2:3" x14ac:dyDescent="0.2">
      <c r="B56" s="8">
        <v>75.099999999999994</v>
      </c>
      <c r="C56" s="8">
        <v>353</v>
      </c>
    </row>
    <row r="57" spans="2:3" x14ac:dyDescent="0.2">
      <c r="B57" s="8">
        <v>85.1</v>
      </c>
      <c r="C57" s="8">
        <v>314</v>
      </c>
    </row>
    <row r="58" spans="2:3" x14ac:dyDescent="0.2">
      <c r="B58" s="8">
        <v>74.900000000000006</v>
      </c>
      <c r="C58" s="8">
        <v>247</v>
      </c>
    </row>
    <row r="59" spans="2:3" x14ac:dyDescent="0.2">
      <c r="B59" s="8">
        <v>84.6</v>
      </c>
      <c r="C59" s="8">
        <v>410</v>
      </c>
    </row>
    <row r="60" spans="2:3" x14ac:dyDescent="0.2">
      <c r="B60" s="8">
        <v>81.7</v>
      </c>
      <c r="C60" s="8">
        <v>395</v>
      </c>
    </row>
    <row r="61" spans="2:3" x14ac:dyDescent="0.2">
      <c r="B61" s="8">
        <v>81.400000000000006</v>
      </c>
      <c r="C61" s="8">
        <v>416</v>
      </c>
    </row>
    <row r="62" spans="2:3" x14ac:dyDescent="0.2">
      <c r="B62" s="8">
        <v>83.8</v>
      </c>
      <c r="C62" s="8">
        <v>342</v>
      </c>
    </row>
    <row r="63" spans="2:3" x14ac:dyDescent="0.2">
      <c r="B63" s="8">
        <v>88.5</v>
      </c>
      <c r="C63" s="8">
        <v>446</v>
      </c>
    </row>
    <row r="64" spans="2:3" x14ac:dyDescent="0.2">
      <c r="B64" s="8">
        <v>84.9</v>
      </c>
      <c r="C64" s="8">
        <v>477</v>
      </c>
    </row>
    <row r="65" spans="2:3" x14ac:dyDescent="0.2">
      <c r="B65" s="8">
        <v>84.3</v>
      </c>
      <c r="C65" s="8">
        <v>444</v>
      </c>
    </row>
    <row r="66" spans="2:3" x14ac:dyDescent="0.2">
      <c r="B66" s="8">
        <v>78.2</v>
      </c>
      <c r="C66" s="8">
        <v>351</v>
      </c>
    </row>
    <row r="67" spans="2:3" x14ac:dyDescent="0.2">
      <c r="B67" s="8">
        <v>80</v>
      </c>
      <c r="C67" s="8">
        <v>165</v>
      </c>
    </row>
    <row r="68" spans="2:3" x14ac:dyDescent="0.2">
      <c r="B68" s="8">
        <v>74.8</v>
      </c>
      <c r="C68" s="8">
        <v>317</v>
      </c>
    </row>
    <row r="69" spans="2:3" x14ac:dyDescent="0.2">
      <c r="B69" s="8">
        <v>78.5</v>
      </c>
      <c r="C69" s="8">
        <v>250</v>
      </c>
    </row>
    <row r="70" spans="2:3" x14ac:dyDescent="0.2">
      <c r="B70" s="8">
        <v>71.8</v>
      </c>
      <c r="C70" s="8">
        <v>217</v>
      </c>
    </row>
    <row r="71" spans="2:3" x14ac:dyDescent="0.2">
      <c r="B71" s="8">
        <v>69.900000000000006</v>
      </c>
      <c r="C71" s="8">
        <v>138</v>
      </c>
    </row>
    <row r="72" spans="2:3" x14ac:dyDescent="0.2">
      <c r="B72" s="8">
        <v>82.7</v>
      </c>
      <c r="C72" s="8">
        <v>302</v>
      </c>
    </row>
    <row r="73" spans="2:3" x14ac:dyDescent="0.2">
      <c r="B73" s="8">
        <v>74</v>
      </c>
      <c r="C73" s="8">
        <v>311</v>
      </c>
    </row>
    <row r="74" spans="2:3" x14ac:dyDescent="0.2">
      <c r="B74" s="8">
        <v>84</v>
      </c>
      <c r="C74" s="8">
        <v>373</v>
      </c>
    </row>
    <row r="75" spans="2:3" x14ac:dyDescent="0.2">
      <c r="B75" s="8">
        <v>84.7</v>
      </c>
      <c r="C75" s="8">
        <v>196</v>
      </c>
    </row>
    <row r="76" spans="2:3" x14ac:dyDescent="0.2">
      <c r="B76" s="8">
        <v>78.2</v>
      </c>
      <c r="C76" s="8">
        <v>306</v>
      </c>
    </row>
    <row r="77" spans="2:3" x14ac:dyDescent="0.2">
      <c r="B77" s="8">
        <v>85</v>
      </c>
      <c r="C77" s="8">
        <v>302</v>
      </c>
    </row>
    <row r="78" spans="2:3" x14ac:dyDescent="0.2">
      <c r="B78" s="8">
        <v>80.099999999999994</v>
      </c>
      <c r="C78" s="8">
        <v>278</v>
      </c>
    </row>
    <row r="79" spans="2:3" x14ac:dyDescent="0.2">
      <c r="B79" s="8">
        <v>85.3</v>
      </c>
      <c r="C79" s="8">
        <v>429</v>
      </c>
    </row>
    <row r="80" spans="2:3" x14ac:dyDescent="0.2">
      <c r="B80" s="8">
        <v>79.7</v>
      </c>
      <c r="C80" s="8">
        <v>338</v>
      </c>
    </row>
    <row r="81" spans="2:3" x14ac:dyDescent="0.2">
      <c r="B81" s="8">
        <v>79.599999999999994</v>
      </c>
      <c r="C81" s="8">
        <v>261</v>
      </c>
    </row>
    <row r="82" spans="2:3" x14ac:dyDescent="0.2">
      <c r="B82" s="8">
        <v>78.900000000000006</v>
      </c>
      <c r="C82" s="8">
        <v>256</v>
      </c>
    </row>
    <row r="83" spans="2:3" x14ac:dyDescent="0.2">
      <c r="B83" s="8">
        <v>78.5</v>
      </c>
      <c r="C83" s="8">
        <v>183</v>
      </c>
    </row>
    <row r="84" spans="2:3" x14ac:dyDescent="0.2">
      <c r="B84" s="8">
        <v>72</v>
      </c>
      <c r="C84" s="8">
        <v>274</v>
      </c>
    </row>
    <row r="85" spans="2:3" x14ac:dyDescent="0.2">
      <c r="B85" s="8">
        <v>74.2</v>
      </c>
      <c r="C85" s="8">
        <v>182</v>
      </c>
    </row>
    <row r="86" spans="2:3" x14ac:dyDescent="0.2">
      <c r="B86" s="8">
        <v>71.7</v>
      </c>
      <c r="C86" s="8">
        <v>183</v>
      </c>
    </row>
    <row r="87" spans="2:3" x14ac:dyDescent="0.2">
      <c r="B87" s="8">
        <v>80.7</v>
      </c>
      <c r="C87" s="8">
        <v>309</v>
      </c>
    </row>
    <row r="88" spans="2:3" x14ac:dyDescent="0.2">
      <c r="B88" s="8">
        <v>84.1</v>
      </c>
      <c r="C88" s="8">
        <v>178</v>
      </c>
    </row>
    <row r="89" spans="2:3" x14ac:dyDescent="0.2">
      <c r="B89" s="8">
        <v>87.4</v>
      </c>
      <c r="C89" s="8">
        <v>458</v>
      </c>
    </row>
    <row r="90" spans="2:3" x14ac:dyDescent="0.2">
      <c r="B90" s="8">
        <v>77.400000000000006</v>
      </c>
      <c r="C90" s="8">
        <v>234</v>
      </c>
    </row>
    <row r="91" spans="2:3" x14ac:dyDescent="0.2">
      <c r="B91" s="8">
        <v>84.7</v>
      </c>
      <c r="C91" s="8">
        <v>306</v>
      </c>
    </row>
    <row r="92" spans="2:3" x14ac:dyDescent="0.2">
      <c r="B92" s="8">
        <v>78.8</v>
      </c>
      <c r="C92" s="8">
        <v>400</v>
      </c>
    </row>
    <row r="93" spans="2:3" x14ac:dyDescent="0.2">
      <c r="B93" s="8">
        <v>92.7</v>
      </c>
      <c r="C93" s="8">
        <v>337</v>
      </c>
    </row>
    <row r="94" spans="2:3" x14ac:dyDescent="0.2">
      <c r="B94" s="8">
        <v>88.8</v>
      </c>
      <c r="C94" s="8">
        <v>325</v>
      </c>
    </row>
    <row r="95" spans="2:3" x14ac:dyDescent="0.2">
      <c r="B95" s="8">
        <v>86.6</v>
      </c>
      <c r="C95" s="8">
        <v>329</v>
      </c>
    </row>
    <row r="96" spans="2:3" x14ac:dyDescent="0.2">
      <c r="B96" s="8">
        <v>77.900000000000006</v>
      </c>
      <c r="C96" s="8">
        <v>369</v>
      </c>
    </row>
    <row r="97" spans="2:3" x14ac:dyDescent="0.2">
      <c r="B97" s="8">
        <v>86.1</v>
      </c>
      <c r="C97" s="8">
        <v>457</v>
      </c>
    </row>
    <row r="98" spans="2:3" x14ac:dyDescent="0.2">
      <c r="B98" s="8">
        <v>89.9</v>
      </c>
      <c r="C98" s="8">
        <v>421</v>
      </c>
    </row>
    <row r="99" spans="2:3" x14ac:dyDescent="0.2">
      <c r="B99" s="8">
        <v>83.1</v>
      </c>
      <c r="C99" s="8">
        <v>282</v>
      </c>
    </row>
    <row r="100" spans="2:3" x14ac:dyDescent="0.2">
      <c r="B100" s="8">
        <v>82.6</v>
      </c>
      <c r="C100" s="8">
        <v>256</v>
      </c>
    </row>
  </sheetData>
  <mergeCells count="1">
    <mergeCell ref="E5:G5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0B637-5548-4EAF-A75A-31CBB469A7F0}">
  <sheetPr codeName="Sheet15">
    <tabColor theme="4" tint="0.59999389629810485"/>
  </sheetPr>
  <dimension ref="B1:G100"/>
  <sheetViews>
    <sheetView showGridLines="0" workbookViewId="0">
      <selection activeCell="E16" sqref="E16"/>
    </sheetView>
  </sheetViews>
  <sheetFormatPr baseColWidth="10" defaultColWidth="8.83203125" defaultRowHeight="15" x14ac:dyDescent="0.2"/>
  <cols>
    <col min="1" max="1" width="2.83203125" customWidth="1"/>
    <col min="2" max="2" width="17.5" bestFit="1" customWidth="1"/>
    <col min="3" max="3" width="10.6640625" bestFit="1" customWidth="1"/>
    <col min="5" max="5" width="14.33203125" customWidth="1"/>
    <col min="6" max="7" width="12.83203125" customWidth="1"/>
  </cols>
  <sheetData>
    <row r="1" spans="2:7" ht="25.5" customHeight="1" x14ac:dyDescent="0.25">
      <c r="B1" s="18" t="s">
        <v>126</v>
      </c>
    </row>
    <row r="2" spans="2:7" ht="15" customHeight="1" x14ac:dyDescent="0.2">
      <c r="B2" s="30" t="s">
        <v>290</v>
      </c>
    </row>
    <row r="3" spans="2:7" ht="18" customHeight="1" x14ac:dyDescent="0.2"/>
    <row r="4" spans="2:7" x14ac:dyDescent="0.2">
      <c r="E4" s="3" t="s">
        <v>53</v>
      </c>
    </row>
    <row r="5" spans="2:7" x14ac:dyDescent="0.2">
      <c r="B5" s="7" t="s">
        <v>36</v>
      </c>
      <c r="C5" s="7" t="s">
        <v>77</v>
      </c>
      <c r="E5" s="116" t="s">
        <v>60</v>
      </c>
      <c r="F5" s="116"/>
      <c r="G5" s="116"/>
    </row>
    <row r="6" spans="2:7" x14ac:dyDescent="0.2">
      <c r="B6" s="8" t="s">
        <v>24</v>
      </c>
      <c r="C6" s="8">
        <v>90.2</v>
      </c>
      <c r="F6" s="17" t="s">
        <v>24</v>
      </c>
      <c r="G6" s="17" t="s">
        <v>26</v>
      </c>
    </row>
    <row r="7" spans="2:7" x14ac:dyDescent="0.2">
      <c r="B7" s="8" t="s">
        <v>24</v>
      </c>
      <c r="C7" s="8">
        <v>92.8</v>
      </c>
      <c r="E7" s="20" t="s">
        <v>18</v>
      </c>
      <c r="F7" s="71">
        <f>COUNTIFS(B6:B100,F6)</f>
        <v>36</v>
      </c>
      <c r="G7" s="71">
        <f>COUNTIFS(B6:B100,G6)</f>
        <v>59</v>
      </c>
    </row>
    <row r="8" spans="2:7" x14ac:dyDescent="0.2">
      <c r="B8" s="8" t="s">
        <v>26</v>
      </c>
      <c r="C8" s="8">
        <v>68.7</v>
      </c>
      <c r="E8" s="20" t="s">
        <v>63</v>
      </c>
      <c r="F8" s="72">
        <f>(_xlfn.MAXIFS($C$6:$C$100,$B$6:$B$100,F6)-_xlfn.MINIFS($C$6:$C$100,$B$6:$B$100,F6))</f>
        <v>25.099999999999994</v>
      </c>
      <c r="G8" s="72">
        <f>(_xlfn.MAXIFS($C$6:$C$100,$B$6:$B$100,G6)-_xlfn.MINIFS($C$6:$C$100,$B$6:$B$100,G6))</f>
        <v>27.300000000000004</v>
      </c>
    </row>
    <row r="9" spans="2:7" x14ac:dyDescent="0.2">
      <c r="B9" s="8" t="s">
        <v>26</v>
      </c>
      <c r="C9" s="8">
        <v>80.7</v>
      </c>
      <c r="E9" s="20" t="s">
        <v>67</v>
      </c>
      <c r="F9" s="72" cm="1">
        <f t="array" ref="F9">_xlfn.QUARTILE.INC(_xlfn._xlws.FILTER($C$6:$C$100,$B$6:$B$100=F6),3)-_xlfn.QUARTILE.INC(_xlfn._xlws.FILTER($C$6:$C$100,$B$6:$B$100=F6),1)</f>
        <v>10.424999999999997</v>
      </c>
      <c r="G9" s="72" cm="1">
        <f t="array" ref="G9">_xlfn.QUARTILE.INC(_xlfn._xlws.FILTER($C$6:$C$100,$B$6:$B$100=G6),3)-_xlfn.QUARTILE.INC(_xlfn._xlws.FILTER($C$6:$C$100,$B$6:$B$100=G6),1)</f>
        <v>8.3999999999999773</v>
      </c>
    </row>
    <row r="10" spans="2:7" x14ac:dyDescent="0.2">
      <c r="B10" s="8" t="s">
        <v>26</v>
      </c>
      <c r="C10" s="8">
        <v>74.900000000000006</v>
      </c>
      <c r="E10" s="20" t="s">
        <v>70</v>
      </c>
      <c r="F10" s="72" cm="1">
        <f t="array" ref="F10">_xlfn.STDEV.S(IF($B$6:$B$100=F6,$C$6:$C$100))</f>
        <v>6.6434333254128743</v>
      </c>
      <c r="G10" s="72" cm="1">
        <f t="array" ref="G10">_xlfn.STDEV.S(IF($B$6:$B$100=G6,$C$6:$C$100))</f>
        <v>5.8085519088336834</v>
      </c>
    </row>
    <row r="11" spans="2:7" x14ac:dyDescent="0.2">
      <c r="B11" s="8" t="s">
        <v>26</v>
      </c>
      <c r="C11" s="8">
        <v>80.7</v>
      </c>
    </row>
    <row r="12" spans="2:7" x14ac:dyDescent="0.2">
      <c r="B12" s="8" t="s">
        <v>26</v>
      </c>
      <c r="C12" s="8">
        <v>83.3</v>
      </c>
    </row>
    <row r="13" spans="2:7" x14ac:dyDescent="0.2">
      <c r="B13" s="8" t="s">
        <v>24</v>
      </c>
      <c r="C13" s="8">
        <v>88.7</v>
      </c>
      <c r="E13" s="3"/>
    </row>
    <row r="14" spans="2:7" x14ac:dyDescent="0.2">
      <c r="B14" s="8" t="s">
        <v>26</v>
      </c>
      <c r="C14" s="8">
        <v>75.400000000000006</v>
      </c>
      <c r="E14" s="3"/>
    </row>
    <row r="15" spans="2:7" x14ac:dyDescent="0.2">
      <c r="B15" s="8" t="s">
        <v>26</v>
      </c>
      <c r="C15" s="8">
        <v>82.1</v>
      </c>
    </row>
    <row r="16" spans="2:7" x14ac:dyDescent="0.2">
      <c r="B16" s="8" t="s">
        <v>24</v>
      </c>
      <c r="C16" s="8">
        <v>87.5</v>
      </c>
    </row>
    <row r="17" spans="2:3" x14ac:dyDescent="0.2">
      <c r="B17" s="8" t="s">
        <v>26</v>
      </c>
      <c r="C17" s="8">
        <v>66.900000000000006</v>
      </c>
    </row>
    <row r="18" spans="2:3" x14ac:dyDescent="0.2">
      <c r="B18" s="8" t="s">
        <v>24</v>
      </c>
      <c r="C18" s="8">
        <v>71.3</v>
      </c>
    </row>
    <row r="19" spans="2:3" x14ac:dyDescent="0.2">
      <c r="B19" s="8" t="s">
        <v>26</v>
      </c>
      <c r="C19" s="8">
        <v>76.8</v>
      </c>
    </row>
    <row r="20" spans="2:3" x14ac:dyDescent="0.2">
      <c r="B20" s="8" t="s">
        <v>24</v>
      </c>
      <c r="C20" s="8">
        <v>72.3</v>
      </c>
    </row>
    <row r="21" spans="2:3" x14ac:dyDescent="0.2">
      <c r="B21" s="8" t="s">
        <v>26</v>
      </c>
      <c r="C21" s="8">
        <v>72.400000000000006</v>
      </c>
    </row>
    <row r="22" spans="2:3" x14ac:dyDescent="0.2">
      <c r="B22" s="8" t="s">
        <v>26</v>
      </c>
      <c r="C22" s="8">
        <v>72</v>
      </c>
    </row>
    <row r="23" spans="2:3" x14ac:dyDescent="0.2">
      <c r="B23" s="8" t="s">
        <v>26</v>
      </c>
      <c r="C23" s="8">
        <v>81</v>
      </c>
    </row>
    <row r="24" spans="2:3" x14ac:dyDescent="0.2">
      <c r="B24" s="8" t="s">
        <v>24</v>
      </c>
      <c r="C24" s="8">
        <v>96.1</v>
      </c>
    </row>
    <row r="25" spans="2:3" x14ac:dyDescent="0.2">
      <c r="B25" s="8" t="s">
        <v>26</v>
      </c>
      <c r="C25" s="8">
        <v>76.7</v>
      </c>
    </row>
    <row r="26" spans="2:3" x14ac:dyDescent="0.2">
      <c r="B26" s="8" t="s">
        <v>24</v>
      </c>
      <c r="C26" s="8">
        <v>80.3</v>
      </c>
    </row>
    <row r="27" spans="2:3" x14ac:dyDescent="0.2">
      <c r="B27" s="8" t="s">
        <v>26</v>
      </c>
      <c r="C27" s="8">
        <v>77.8</v>
      </c>
    </row>
    <row r="28" spans="2:3" x14ac:dyDescent="0.2">
      <c r="B28" s="8" t="s">
        <v>26</v>
      </c>
      <c r="C28" s="8">
        <v>62.6</v>
      </c>
    </row>
    <row r="29" spans="2:3" x14ac:dyDescent="0.2">
      <c r="B29" s="8" t="s">
        <v>26</v>
      </c>
      <c r="C29" s="8">
        <v>80.2</v>
      </c>
    </row>
    <row r="30" spans="2:3" x14ac:dyDescent="0.2">
      <c r="B30" s="8" t="s">
        <v>24</v>
      </c>
      <c r="C30" s="8">
        <v>79.099999999999994</v>
      </c>
    </row>
    <row r="31" spans="2:3" x14ac:dyDescent="0.2">
      <c r="B31" s="8" t="s">
        <v>26</v>
      </c>
      <c r="C31" s="8">
        <v>77.8</v>
      </c>
    </row>
    <row r="32" spans="2:3" x14ac:dyDescent="0.2">
      <c r="B32" s="8" t="s">
        <v>26</v>
      </c>
      <c r="C32" s="8">
        <v>75.099999999999994</v>
      </c>
    </row>
    <row r="33" spans="2:3" x14ac:dyDescent="0.2">
      <c r="B33" s="8" t="s">
        <v>26</v>
      </c>
      <c r="C33" s="8">
        <v>82.2</v>
      </c>
    </row>
    <row r="34" spans="2:3" x14ac:dyDescent="0.2">
      <c r="B34" s="8" t="s">
        <v>26</v>
      </c>
      <c r="C34" s="8">
        <v>70.5</v>
      </c>
    </row>
    <row r="35" spans="2:3" x14ac:dyDescent="0.2">
      <c r="B35" s="8" t="s">
        <v>26</v>
      </c>
      <c r="C35" s="8">
        <v>70.8</v>
      </c>
    </row>
    <row r="36" spans="2:3" x14ac:dyDescent="0.2">
      <c r="B36" s="8" t="s">
        <v>24</v>
      </c>
      <c r="C36" s="8">
        <v>87.5</v>
      </c>
    </row>
    <row r="37" spans="2:3" x14ac:dyDescent="0.2">
      <c r="B37" s="8" t="s">
        <v>26</v>
      </c>
      <c r="C37" s="8">
        <v>79.5</v>
      </c>
    </row>
    <row r="38" spans="2:3" x14ac:dyDescent="0.2">
      <c r="B38" s="8" t="s">
        <v>24</v>
      </c>
      <c r="C38" s="8">
        <v>80.8</v>
      </c>
    </row>
    <row r="39" spans="2:3" x14ac:dyDescent="0.2">
      <c r="B39" s="8" t="s">
        <v>26</v>
      </c>
      <c r="C39" s="8">
        <v>79.599999999999994</v>
      </c>
    </row>
    <row r="40" spans="2:3" x14ac:dyDescent="0.2">
      <c r="B40" s="8" t="s">
        <v>24</v>
      </c>
      <c r="C40" s="8">
        <v>88.9</v>
      </c>
    </row>
    <row r="41" spans="2:3" x14ac:dyDescent="0.2">
      <c r="B41" s="8" t="s">
        <v>26</v>
      </c>
      <c r="C41" s="8">
        <v>85.9</v>
      </c>
    </row>
    <row r="42" spans="2:3" x14ac:dyDescent="0.2">
      <c r="B42" s="8" t="s">
        <v>24</v>
      </c>
      <c r="C42" s="8">
        <v>82.3</v>
      </c>
    </row>
    <row r="43" spans="2:3" x14ac:dyDescent="0.2">
      <c r="B43" s="8" t="s">
        <v>26</v>
      </c>
      <c r="C43" s="8">
        <v>76.7</v>
      </c>
    </row>
    <row r="44" spans="2:3" x14ac:dyDescent="0.2">
      <c r="B44" s="8" t="s">
        <v>26</v>
      </c>
      <c r="C44" s="8">
        <v>79.900000000000006</v>
      </c>
    </row>
    <row r="45" spans="2:3" x14ac:dyDescent="0.2">
      <c r="B45" s="8" t="s">
        <v>26</v>
      </c>
      <c r="C45" s="8">
        <v>86.2</v>
      </c>
    </row>
    <row r="46" spans="2:3" x14ac:dyDescent="0.2">
      <c r="B46" s="8" t="s">
        <v>26</v>
      </c>
      <c r="C46" s="8">
        <v>79.2</v>
      </c>
    </row>
    <row r="47" spans="2:3" x14ac:dyDescent="0.2">
      <c r="B47" s="8" t="s">
        <v>24</v>
      </c>
      <c r="C47" s="8">
        <v>83.4</v>
      </c>
    </row>
    <row r="48" spans="2:3" x14ac:dyDescent="0.2">
      <c r="B48" s="8" t="s">
        <v>26</v>
      </c>
      <c r="C48" s="8">
        <v>85.2</v>
      </c>
    </row>
    <row r="49" spans="2:3" x14ac:dyDescent="0.2">
      <c r="B49" s="8" t="s">
        <v>24</v>
      </c>
      <c r="C49" s="8">
        <v>77.8</v>
      </c>
    </row>
    <row r="50" spans="2:3" x14ac:dyDescent="0.2">
      <c r="B50" s="8" t="s">
        <v>26</v>
      </c>
      <c r="C50" s="8">
        <v>80.2</v>
      </c>
    </row>
    <row r="51" spans="2:3" x14ac:dyDescent="0.2">
      <c r="B51" s="8" t="s">
        <v>24</v>
      </c>
      <c r="C51" s="8">
        <v>71</v>
      </c>
    </row>
    <row r="52" spans="2:3" x14ac:dyDescent="0.2">
      <c r="B52" s="8" t="s">
        <v>24</v>
      </c>
      <c r="C52" s="8">
        <v>87.2</v>
      </c>
    </row>
    <row r="53" spans="2:3" x14ac:dyDescent="0.2">
      <c r="B53" s="8" t="s">
        <v>24</v>
      </c>
      <c r="C53" s="8">
        <v>82.9</v>
      </c>
    </row>
    <row r="54" spans="2:3" x14ac:dyDescent="0.2">
      <c r="B54" s="8" t="s">
        <v>26</v>
      </c>
      <c r="C54" s="8">
        <v>73.5</v>
      </c>
    </row>
    <row r="55" spans="2:3" x14ac:dyDescent="0.2">
      <c r="B55" s="8" t="s">
        <v>26</v>
      </c>
      <c r="C55" s="8">
        <v>74.599999999999994</v>
      </c>
    </row>
    <row r="56" spans="2:3" x14ac:dyDescent="0.2">
      <c r="B56" s="8" t="s">
        <v>24</v>
      </c>
      <c r="C56" s="8">
        <v>75.099999999999994</v>
      </c>
    </row>
    <row r="57" spans="2:3" x14ac:dyDescent="0.2">
      <c r="B57" s="8" t="s">
        <v>26</v>
      </c>
      <c r="C57" s="8">
        <v>85.1</v>
      </c>
    </row>
    <row r="58" spans="2:3" x14ac:dyDescent="0.2">
      <c r="B58" s="8" t="s">
        <v>24</v>
      </c>
      <c r="C58" s="8">
        <v>74.900000000000006</v>
      </c>
    </row>
    <row r="59" spans="2:3" x14ac:dyDescent="0.2">
      <c r="B59" s="8" t="s">
        <v>26</v>
      </c>
      <c r="C59" s="8">
        <v>84.6</v>
      </c>
    </row>
    <row r="60" spans="2:3" x14ac:dyDescent="0.2">
      <c r="B60" s="8" t="s">
        <v>24</v>
      </c>
      <c r="C60" s="8">
        <v>81.7</v>
      </c>
    </row>
    <row r="61" spans="2:3" x14ac:dyDescent="0.2">
      <c r="B61" s="8" t="s">
        <v>26</v>
      </c>
      <c r="C61" s="8">
        <v>81.400000000000006</v>
      </c>
    </row>
    <row r="62" spans="2:3" x14ac:dyDescent="0.2">
      <c r="B62" s="8" t="s">
        <v>24</v>
      </c>
      <c r="C62" s="8">
        <v>83.8</v>
      </c>
    </row>
    <row r="63" spans="2:3" x14ac:dyDescent="0.2">
      <c r="B63" s="8" t="s">
        <v>26</v>
      </c>
      <c r="C63" s="8">
        <v>88.5</v>
      </c>
    </row>
    <row r="64" spans="2:3" x14ac:dyDescent="0.2">
      <c r="B64" s="8" t="s">
        <v>26</v>
      </c>
      <c r="C64" s="8">
        <v>84.9</v>
      </c>
    </row>
    <row r="65" spans="2:3" x14ac:dyDescent="0.2">
      <c r="B65" s="8" t="s">
        <v>26</v>
      </c>
      <c r="C65" s="8">
        <v>84.3</v>
      </c>
    </row>
    <row r="66" spans="2:3" x14ac:dyDescent="0.2">
      <c r="B66" s="8" t="s">
        <v>26</v>
      </c>
      <c r="C66" s="8">
        <v>78.2</v>
      </c>
    </row>
    <row r="67" spans="2:3" x14ac:dyDescent="0.2">
      <c r="B67" s="8" t="s">
        <v>26</v>
      </c>
      <c r="C67" s="8">
        <v>80</v>
      </c>
    </row>
    <row r="68" spans="2:3" x14ac:dyDescent="0.2">
      <c r="B68" s="8" t="s">
        <v>24</v>
      </c>
      <c r="C68" s="8">
        <v>74.8</v>
      </c>
    </row>
    <row r="69" spans="2:3" x14ac:dyDescent="0.2">
      <c r="B69" s="8" t="s">
        <v>26</v>
      </c>
      <c r="C69" s="8">
        <v>78.5</v>
      </c>
    </row>
    <row r="70" spans="2:3" x14ac:dyDescent="0.2">
      <c r="B70" s="8" t="s">
        <v>26</v>
      </c>
      <c r="C70" s="8">
        <v>71.8</v>
      </c>
    </row>
    <row r="71" spans="2:3" x14ac:dyDescent="0.2">
      <c r="B71" s="8" t="s">
        <v>26</v>
      </c>
      <c r="C71" s="8">
        <v>69.900000000000006</v>
      </c>
    </row>
    <row r="72" spans="2:3" x14ac:dyDescent="0.2">
      <c r="B72" s="8" t="s">
        <v>24</v>
      </c>
      <c r="C72" s="8">
        <v>82.7</v>
      </c>
    </row>
    <row r="73" spans="2:3" x14ac:dyDescent="0.2">
      <c r="B73" s="8" t="s">
        <v>26</v>
      </c>
      <c r="C73" s="8">
        <v>74</v>
      </c>
    </row>
    <row r="74" spans="2:3" x14ac:dyDescent="0.2">
      <c r="B74" s="8" t="s">
        <v>24</v>
      </c>
      <c r="C74" s="8">
        <v>84</v>
      </c>
    </row>
    <row r="75" spans="2:3" x14ac:dyDescent="0.2">
      <c r="B75" s="8" t="s">
        <v>26</v>
      </c>
      <c r="C75" s="8">
        <v>84.7</v>
      </c>
    </row>
    <row r="76" spans="2:3" x14ac:dyDescent="0.2">
      <c r="B76" s="8" t="s">
        <v>26</v>
      </c>
      <c r="C76" s="8">
        <v>78.2</v>
      </c>
    </row>
    <row r="77" spans="2:3" x14ac:dyDescent="0.2">
      <c r="B77" s="8" t="s">
        <v>26</v>
      </c>
      <c r="C77" s="8">
        <v>85</v>
      </c>
    </row>
    <row r="78" spans="2:3" x14ac:dyDescent="0.2">
      <c r="B78" s="8" t="s">
        <v>24</v>
      </c>
      <c r="C78" s="8">
        <v>80.099999999999994</v>
      </c>
    </row>
    <row r="79" spans="2:3" x14ac:dyDescent="0.2">
      <c r="B79" s="8" t="s">
        <v>26</v>
      </c>
      <c r="C79" s="8">
        <v>85.3</v>
      </c>
    </row>
    <row r="80" spans="2:3" x14ac:dyDescent="0.2">
      <c r="B80" s="8" t="s">
        <v>26</v>
      </c>
      <c r="C80" s="8">
        <v>79.7</v>
      </c>
    </row>
    <row r="81" spans="2:3" x14ac:dyDescent="0.2">
      <c r="B81" s="8" t="s">
        <v>24</v>
      </c>
      <c r="C81" s="8">
        <v>79.599999999999994</v>
      </c>
    </row>
    <row r="82" spans="2:3" x14ac:dyDescent="0.2">
      <c r="B82" s="8" t="s">
        <v>24</v>
      </c>
      <c r="C82" s="8">
        <v>78.900000000000006</v>
      </c>
    </row>
    <row r="83" spans="2:3" x14ac:dyDescent="0.2">
      <c r="B83" s="8" t="s">
        <v>26</v>
      </c>
      <c r="C83" s="8">
        <v>78.5</v>
      </c>
    </row>
    <row r="84" spans="2:3" x14ac:dyDescent="0.2">
      <c r="B84" s="8" t="s">
        <v>24</v>
      </c>
      <c r="C84" s="8">
        <v>72</v>
      </c>
    </row>
    <row r="85" spans="2:3" x14ac:dyDescent="0.2">
      <c r="B85" s="8" t="s">
        <v>24</v>
      </c>
      <c r="C85" s="8">
        <v>74.2</v>
      </c>
    </row>
    <row r="86" spans="2:3" x14ac:dyDescent="0.2">
      <c r="B86" s="8" t="s">
        <v>24</v>
      </c>
      <c r="C86" s="8">
        <v>71.7</v>
      </c>
    </row>
    <row r="87" spans="2:3" x14ac:dyDescent="0.2">
      <c r="B87" s="8" t="s">
        <v>26</v>
      </c>
      <c r="C87" s="8">
        <v>80.7</v>
      </c>
    </row>
    <row r="88" spans="2:3" x14ac:dyDescent="0.2">
      <c r="B88" s="8" t="s">
        <v>26</v>
      </c>
      <c r="C88" s="8">
        <v>84.1</v>
      </c>
    </row>
    <row r="89" spans="2:3" x14ac:dyDescent="0.2">
      <c r="B89" s="8" t="s">
        <v>24</v>
      </c>
      <c r="C89" s="8">
        <v>87.4</v>
      </c>
    </row>
    <row r="90" spans="2:3" x14ac:dyDescent="0.2">
      <c r="B90" s="8" t="s">
        <v>24</v>
      </c>
      <c r="C90" s="8">
        <v>77.400000000000006</v>
      </c>
    </row>
    <row r="91" spans="2:3" x14ac:dyDescent="0.2">
      <c r="B91" s="8" t="s">
        <v>26</v>
      </c>
      <c r="C91" s="8">
        <v>84.7</v>
      </c>
    </row>
    <row r="92" spans="2:3" x14ac:dyDescent="0.2">
      <c r="B92" s="8" t="s">
        <v>24</v>
      </c>
      <c r="C92" s="8">
        <v>78.8</v>
      </c>
    </row>
    <row r="93" spans="2:3" x14ac:dyDescent="0.2">
      <c r="B93" s="8" t="s">
        <v>24</v>
      </c>
      <c r="C93" s="8">
        <v>92.7</v>
      </c>
    </row>
    <row r="94" spans="2:3" x14ac:dyDescent="0.2">
      <c r="B94" s="8" t="s">
        <v>26</v>
      </c>
      <c r="C94" s="8">
        <v>88.8</v>
      </c>
    </row>
    <row r="95" spans="2:3" x14ac:dyDescent="0.2">
      <c r="B95" s="8" t="s">
        <v>26</v>
      </c>
      <c r="C95" s="8">
        <v>86.6</v>
      </c>
    </row>
    <row r="96" spans="2:3" x14ac:dyDescent="0.2">
      <c r="B96" s="8" t="s">
        <v>24</v>
      </c>
      <c r="C96" s="8">
        <v>77.900000000000006</v>
      </c>
    </row>
    <row r="97" spans="2:3" x14ac:dyDescent="0.2">
      <c r="B97" s="8" t="s">
        <v>26</v>
      </c>
      <c r="C97" s="8">
        <v>86.1</v>
      </c>
    </row>
    <row r="98" spans="2:3" x14ac:dyDescent="0.2">
      <c r="B98" s="8" t="s">
        <v>26</v>
      </c>
      <c r="C98" s="8">
        <v>89.9</v>
      </c>
    </row>
    <row r="99" spans="2:3" x14ac:dyDescent="0.2">
      <c r="B99" s="8" t="s">
        <v>26</v>
      </c>
      <c r="C99" s="8">
        <v>83.1</v>
      </c>
    </row>
    <row r="100" spans="2:3" x14ac:dyDescent="0.2">
      <c r="B100" s="8" t="s">
        <v>26</v>
      </c>
      <c r="C100" s="8">
        <v>82.6</v>
      </c>
    </row>
  </sheetData>
  <mergeCells count="1">
    <mergeCell ref="E5:G5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C4CFC-D1EE-40F6-859E-87763754F741}">
  <sheetPr codeName="Sheet16">
    <tabColor theme="5" tint="0.79998168889431442"/>
  </sheetPr>
  <dimension ref="B1:K100"/>
  <sheetViews>
    <sheetView showGridLines="0" topLeftCell="A2" workbookViewId="0">
      <selection activeCell="H33" sqref="H33"/>
    </sheetView>
  </sheetViews>
  <sheetFormatPr baseColWidth="10" defaultColWidth="8.83203125" defaultRowHeight="15" x14ac:dyDescent="0.2"/>
  <cols>
    <col min="1" max="1" width="2.83203125" customWidth="1"/>
    <col min="2" max="2" width="10.6640625" bestFit="1" customWidth="1"/>
    <col min="4" max="4" width="13.5" bestFit="1" customWidth="1"/>
    <col min="5" max="5" width="10.33203125" bestFit="1" customWidth="1"/>
    <col min="7" max="8" width="11.5" customWidth="1"/>
    <col min="10" max="11" width="11.5" customWidth="1"/>
  </cols>
  <sheetData>
    <row r="1" spans="2:11" ht="25.5" customHeight="1" x14ac:dyDescent="0.25">
      <c r="B1" s="18" t="s">
        <v>127</v>
      </c>
    </row>
    <row r="2" spans="2:11" ht="15" customHeight="1" x14ac:dyDescent="0.2">
      <c r="B2" s="30" t="s">
        <v>84</v>
      </c>
    </row>
    <row r="3" spans="2:11" ht="18" customHeight="1" x14ac:dyDescent="0.2"/>
    <row r="4" spans="2:11" x14ac:dyDescent="0.2">
      <c r="D4" s="3" t="s">
        <v>52</v>
      </c>
      <c r="G4" s="3" t="s">
        <v>54</v>
      </c>
      <c r="J4" s="3" t="s">
        <v>54</v>
      </c>
    </row>
    <row r="5" spans="2:11" x14ac:dyDescent="0.2">
      <c r="B5" s="7" t="s">
        <v>77</v>
      </c>
      <c r="D5" s="9" t="s">
        <v>77</v>
      </c>
      <c r="E5" t="s">
        <v>15</v>
      </c>
      <c r="G5" s="115" t="s">
        <v>85</v>
      </c>
      <c r="H5" s="115"/>
      <c r="J5" s="115" t="s">
        <v>86</v>
      </c>
      <c r="K5" s="115"/>
    </row>
    <row r="6" spans="2:11" x14ac:dyDescent="0.2">
      <c r="B6" s="8">
        <v>90.2</v>
      </c>
      <c r="D6" t="s">
        <v>38</v>
      </c>
      <c r="E6">
        <v>1</v>
      </c>
      <c r="G6" s="20" t="s">
        <v>46</v>
      </c>
      <c r="H6" s="75">
        <f>AVERAGE(B6:B100)</f>
        <v>80.169473684210516</v>
      </c>
      <c r="J6" s="20" t="s">
        <v>46</v>
      </c>
      <c r="K6" s="75">
        <f>H6</f>
        <v>80.169473684210516</v>
      </c>
    </row>
    <row r="7" spans="2:11" x14ac:dyDescent="0.2">
      <c r="B7" s="8">
        <v>92.8</v>
      </c>
      <c r="D7" t="s">
        <v>39</v>
      </c>
      <c r="E7">
        <v>3</v>
      </c>
      <c r="G7" s="20" t="s">
        <v>47</v>
      </c>
      <c r="H7" s="75">
        <f>MEDIAN(B6:B100)</f>
        <v>80.2</v>
      </c>
      <c r="J7" s="20" t="s">
        <v>70</v>
      </c>
      <c r="K7" s="75">
        <f>_xlfn.STDEV.S(B6:B100)</f>
        <v>6.1707800411122609</v>
      </c>
    </row>
    <row r="8" spans="2:11" x14ac:dyDescent="0.2">
      <c r="B8" s="8">
        <v>68.7</v>
      </c>
      <c r="D8" t="s">
        <v>40</v>
      </c>
      <c r="E8">
        <v>17</v>
      </c>
    </row>
    <row r="9" spans="2:11" x14ac:dyDescent="0.2">
      <c r="B9" s="8">
        <v>80.7</v>
      </c>
      <c r="D9" t="s">
        <v>41</v>
      </c>
      <c r="E9">
        <v>24</v>
      </c>
    </row>
    <row r="10" spans="2:11" x14ac:dyDescent="0.2">
      <c r="B10" s="8">
        <v>74.900000000000006</v>
      </c>
      <c r="D10" t="s">
        <v>42</v>
      </c>
      <c r="E10">
        <v>29</v>
      </c>
    </row>
    <row r="11" spans="2:11" x14ac:dyDescent="0.2">
      <c r="B11" s="8">
        <v>80.7</v>
      </c>
      <c r="D11" t="s">
        <v>43</v>
      </c>
      <c r="E11">
        <v>17</v>
      </c>
    </row>
    <row r="12" spans="2:11" x14ac:dyDescent="0.2">
      <c r="B12" s="8">
        <v>83.3</v>
      </c>
      <c r="D12" t="s">
        <v>44</v>
      </c>
      <c r="E12">
        <v>3</v>
      </c>
    </row>
    <row r="13" spans="2:11" x14ac:dyDescent="0.2">
      <c r="B13" s="8">
        <v>88.7</v>
      </c>
      <c r="D13" t="s">
        <v>45</v>
      </c>
      <c r="E13">
        <v>1</v>
      </c>
    </row>
    <row r="14" spans="2:11" x14ac:dyDescent="0.2">
      <c r="B14" s="8">
        <v>75.400000000000006</v>
      </c>
      <c r="D14" t="s">
        <v>17</v>
      </c>
      <c r="E14">
        <v>95</v>
      </c>
    </row>
    <row r="15" spans="2:11" x14ac:dyDescent="0.2">
      <c r="B15" s="8">
        <v>82.1</v>
      </c>
    </row>
    <row r="16" spans="2:11" x14ac:dyDescent="0.2">
      <c r="B16" s="8">
        <v>87.5</v>
      </c>
    </row>
    <row r="17" spans="2:2" x14ac:dyDescent="0.2">
      <c r="B17" s="8">
        <v>66.900000000000006</v>
      </c>
    </row>
    <row r="18" spans="2:2" x14ac:dyDescent="0.2">
      <c r="B18" s="8">
        <v>71.3</v>
      </c>
    </row>
    <row r="19" spans="2:2" x14ac:dyDescent="0.2">
      <c r="B19" s="8">
        <v>76.8</v>
      </c>
    </row>
    <row r="20" spans="2:2" x14ac:dyDescent="0.2">
      <c r="B20" s="8">
        <v>72.3</v>
      </c>
    </row>
    <row r="21" spans="2:2" x14ac:dyDescent="0.2">
      <c r="B21" s="8">
        <v>72.400000000000006</v>
      </c>
    </row>
    <row r="22" spans="2:2" x14ac:dyDescent="0.2">
      <c r="B22" s="8">
        <v>72</v>
      </c>
    </row>
    <row r="23" spans="2:2" x14ac:dyDescent="0.2">
      <c r="B23" s="8">
        <v>81</v>
      </c>
    </row>
    <row r="24" spans="2:2" x14ac:dyDescent="0.2">
      <c r="B24" s="8">
        <v>96.1</v>
      </c>
    </row>
    <row r="25" spans="2:2" x14ac:dyDescent="0.2">
      <c r="B25" s="8">
        <v>76.7</v>
      </c>
    </row>
    <row r="26" spans="2:2" x14ac:dyDescent="0.2">
      <c r="B26" s="8">
        <v>80.3</v>
      </c>
    </row>
    <row r="27" spans="2:2" x14ac:dyDescent="0.2">
      <c r="B27" s="8">
        <v>77.8</v>
      </c>
    </row>
    <row r="28" spans="2:2" x14ac:dyDescent="0.2">
      <c r="B28" s="8">
        <v>62.6</v>
      </c>
    </row>
    <row r="29" spans="2:2" x14ac:dyDescent="0.2">
      <c r="B29" s="8">
        <v>80.2</v>
      </c>
    </row>
    <row r="30" spans="2:2" x14ac:dyDescent="0.2">
      <c r="B30" s="8">
        <v>79.099999999999994</v>
      </c>
    </row>
    <row r="31" spans="2:2" x14ac:dyDescent="0.2">
      <c r="B31" s="8">
        <v>77.8</v>
      </c>
    </row>
    <row r="32" spans="2:2" x14ac:dyDescent="0.2">
      <c r="B32" s="8">
        <v>75.099999999999994</v>
      </c>
    </row>
    <row r="33" spans="2:2" x14ac:dyDescent="0.2">
      <c r="B33" s="8">
        <v>82.2</v>
      </c>
    </row>
    <row r="34" spans="2:2" x14ac:dyDescent="0.2">
      <c r="B34" s="8">
        <v>70.5</v>
      </c>
    </row>
    <row r="35" spans="2:2" x14ac:dyDescent="0.2">
      <c r="B35" s="8">
        <v>70.8</v>
      </c>
    </row>
    <row r="36" spans="2:2" x14ac:dyDescent="0.2">
      <c r="B36" s="8">
        <v>87.5</v>
      </c>
    </row>
    <row r="37" spans="2:2" x14ac:dyDescent="0.2">
      <c r="B37" s="8">
        <v>79.5</v>
      </c>
    </row>
    <row r="38" spans="2:2" x14ac:dyDescent="0.2">
      <c r="B38" s="8">
        <v>80.8</v>
      </c>
    </row>
    <row r="39" spans="2:2" x14ac:dyDescent="0.2">
      <c r="B39" s="8">
        <v>79.599999999999994</v>
      </c>
    </row>
    <row r="40" spans="2:2" x14ac:dyDescent="0.2">
      <c r="B40" s="8">
        <v>88.9</v>
      </c>
    </row>
    <row r="41" spans="2:2" x14ac:dyDescent="0.2">
      <c r="B41" s="8">
        <v>85.9</v>
      </c>
    </row>
    <row r="42" spans="2:2" x14ac:dyDescent="0.2">
      <c r="B42" s="8">
        <v>82.3</v>
      </c>
    </row>
    <row r="43" spans="2:2" x14ac:dyDescent="0.2">
      <c r="B43" s="8">
        <v>76.7</v>
      </c>
    </row>
    <row r="44" spans="2:2" x14ac:dyDescent="0.2">
      <c r="B44" s="8">
        <v>79.900000000000006</v>
      </c>
    </row>
    <row r="45" spans="2:2" x14ac:dyDescent="0.2">
      <c r="B45" s="8">
        <v>86.2</v>
      </c>
    </row>
    <row r="46" spans="2:2" x14ac:dyDescent="0.2">
      <c r="B46" s="8">
        <v>79.2</v>
      </c>
    </row>
    <row r="47" spans="2:2" x14ac:dyDescent="0.2">
      <c r="B47" s="8">
        <v>83.4</v>
      </c>
    </row>
    <row r="48" spans="2:2" x14ac:dyDescent="0.2">
      <c r="B48" s="8">
        <v>85.2</v>
      </c>
    </row>
    <row r="49" spans="2:2" x14ac:dyDescent="0.2">
      <c r="B49" s="8">
        <v>77.8</v>
      </c>
    </row>
    <row r="50" spans="2:2" x14ac:dyDescent="0.2">
      <c r="B50" s="8">
        <v>80.2</v>
      </c>
    </row>
    <row r="51" spans="2:2" x14ac:dyDescent="0.2">
      <c r="B51" s="8">
        <v>71</v>
      </c>
    </row>
    <row r="52" spans="2:2" x14ac:dyDescent="0.2">
      <c r="B52" s="8">
        <v>87.2</v>
      </c>
    </row>
    <row r="53" spans="2:2" x14ac:dyDescent="0.2">
      <c r="B53" s="8">
        <v>82.9</v>
      </c>
    </row>
    <row r="54" spans="2:2" x14ac:dyDescent="0.2">
      <c r="B54" s="8">
        <v>73.5</v>
      </c>
    </row>
    <row r="55" spans="2:2" x14ac:dyDescent="0.2">
      <c r="B55" s="8">
        <v>74.599999999999994</v>
      </c>
    </row>
    <row r="56" spans="2:2" x14ac:dyDescent="0.2">
      <c r="B56" s="8">
        <v>75.099999999999994</v>
      </c>
    </row>
    <row r="57" spans="2:2" x14ac:dyDescent="0.2">
      <c r="B57" s="8">
        <v>85.1</v>
      </c>
    </row>
    <row r="58" spans="2:2" x14ac:dyDescent="0.2">
      <c r="B58" s="8">
        <v>74.900000000000006</v>
      </c>
    </row>
    <row r="59" spans="2:2" x14ac:dyDescent="0.2">
      <c r="B59" s="8">
        <v>84.6</v>
      </c>
    </row>
    <row r="60" spans="2:2" x14ac:dyDescent="0.2">
      <c r="B60" s="8">
        <v>81.7</v>
      </c>
    </row>
    <row r="61" spans="2:2" x14ac:dyDescent="0.2">
      <c r="B61" s="8">
        <v>81.400000000000006</v>
      </c>
    </row>
    <row r="62" spans="2:2" x14ac:dyDescent="0.2">
      <c r="B62" s="8">
        <v>83.8</v>
      </c>
    </row>
    <row r="63" spans="2:2" x14ac:dyDescent="0.2">
      <c r="B63" s="8">
        <v>88.5</v>
      </c>
    </row>
    <row r="64" spans="2:2" x14ac:dyDescent="0.2">
      <c r="B64" s="8">
        <v>84.9</v>
      </c>
    </row>
    <row r="65" spans="2:2" x14ac:dyDescent="0.2">
      <c r="B65" s="8">
        <v>84.3</v>
      </c>
    </row>
    <row r="66" spans="2:2" x14ac:dyDescent="0.2">
      <c r="B66" s="8">
        <v>78.2</v>
      </c>
    </row>
    <row r="67" spans="2:2" x14ac:dyDescent="0.2">
      <c r="B67" s="8">
        <v>80</v>
      </c>
    </row>
    <row r="68" spans="2:2" x14ac:dyDescent="0.2">
      <c r="B68" s="8">
        <v>74.8</v>
      </c>
    </row>
    <row r="69" spans="2:2" x14ac:dyDescent="0.2">
      <c r="B69" s="8">
        <v>78.5</v>
      </c>
    </row>
    <row r="70" spans="2:2" x14ac:dyDescent="0.2">
      <c r="B70" s="8">
        <v>71.8</v>
      </c>
    </row>
    <row r="71" spans="2:2" x14ac:dyDescent="0.2">
      <c r="B71" s="8">
        <v>69.900000000000006</v>
      </c>
    </row>
    <row r="72" spans="2:2" x14ac:dyDescent="0.2">
      <c r="B72" s="8">
        <v>82.7</v>
      </c>
    </row>
    <row r="73" spans="2:2" x14ac:dyDescent="0.2">
      <c r="B73" s="8">
        <v>74</v>
      </c>
    </row>
    <row r="74" spans="2:2" x14ac:dyDescent="0.2">
      <c r="B74" s="8">
        <v>84</v>
      </c>
    </row>
    <row r="75" spans="2:2" x14ac:dyDescent="0.2">
      <c r="B75" s="8">
        <v>84.7</v>
      </c>
    </row>
    <row r="76" spans="2:2" x14ac:dyDescent="0.2">
      <c r="B76" s="8">
        <v>78.2</v>
      </c>
    </row>
    <row r="77" spans="2:2" x14ac:dyDescent="0.2">
      <c r="B77" s="8">
        <v>85</v>
      </c>
    </row>
    <row r="78" spans="2:2" x14ac:dyDescent="0.2">
      <c r="B78" s="8">
        <v>80.099999999999994</v>
      </c>
    </row>
    <row r="79" spans="2:2" x14ac:dyDescent="0.2">
      <c r="B79" s="8">
        <v>85.3</v>
      </c>
    </row>
    <row r="80" spans="2:2" x14ac:dyDescent="0.2">
      <c r="B80" s="8">
        <v>79.7</v>
      </c>
    </row>
    <row r="81" spans="2:2" x14ac:dyDescent="0.2">
      <c r="B81" s="8">
        <v>79.599999999999994</v>
      </c>
    </row>
    <row r="82" spans="2:2" x14ac:dyDescent="0.2">
      <c r="B82" s="8">
        <v>78.900000000000006</v>
      </c>
    </row>
    <row r="83" spans="2:2" x14ac:dyDescent="0.2">
      <c r="B83" s="8">
        <v>78.5</v>
      </c>
    </row>
    <row r="84" spans="2:2" x14ac:dyDescent="0.2">
      <c r="B84" s="8">
        <v>72</v>
      </c>
    </row>
    <row r="85" spans="2:2" x14ac:dyDescent="0.2">
      <c r="B85" s="8">
        <v>74.2</v>
      </c>
    </row>
    <row r="86" spans="2:2" x14ac:dyDescent="0.2">
      <c r="B86" s="8">
        <v>71.7</v>
      </c>
    </row>
    <row r="87" spans="2:2" x14ac:dyDescent="0.2">
      <c r="B87" s="8">
        <v>80.7</v>
      </c>
    </row>
    <row r="88" spans="2:2" x14ac:dyDescent="0.2">
      <c r="B88" s="8">
        <v>84.1</v>
      </c>
    </row>
    <row r="89" spans="2:2" x14ac:dyDescent="0.2">
      <c r="B89" s="8">
        <v>87.4</v>
      </c>
    </row>
    <row r="90" spans="2:2" x14ac:dyDescent="0.2">
      <c r="B90" s="8">
        <v>77.400000000000006</v>
      </c>
    </row>
    <row r="91" spans="2:2" x14ac:dyDescent="0.2">
      <c r="B91" s="8">
        <v>84.7</v>
      </c>
    </row>
    <row r="92" spans="2:2" x14ac:dyDescent="0.2">
      <c r="B92" s="8">
        <v>78.8</v>
      </c>
    </row>
    <row r="93" spans="2:2" x14ac:dyDescent="0.2">
      <c r="B93" s="8">
        <v>92.7</v>
      </c>
    </row>
    <row r="94" spans="2:2" x14ac:dyDescent="0.2">
      <c r="B94" s="8">
        <v>88.8</v>
      </c>
    </row>
    <row r="95" spans="2:2" x14ac:dyDescent="0.2">
      <c r="B95" s="8">
        <v>86.6</v>
      </c>
    </row>
    <row r="96" spans="2:2" x14ac:dyDescent="0.2">
      <c r="B96" s="8">
        <v>77.900000000000006</v>
      </c>
    </row>
    <row r="97" spans="2:2" x14ac:dyDescent="0.2">
      <c r="B97" s="8">
        <v>86.1</v>
      </c>
    </row>
    <row r="98" spans="2:2" x14ac:dyDescent="0.2">
      <c r="B98" s="8">
        <v>89.9</v>
      </c>
    </row>
    <row r="99" spans="2:2" x14ac:dyDescent="0.2">
      <c r="B99" s="8">
        <v>83.1</v>
      </c>
    </row>
    <row r="100" spans="2:2" x14ac:dyDescent="0.2">
      <c r="B100" s="8">
        <v>82.6</v>
      </c>
    </row>
  </sheetData>
  <mergeCells count="2">
    <mergeCell ref="G5:H5"/>
    <mergeCell ref="J5:K5"/>
  </mergeCells>
  <pageMargins left="0.7" right="0.7" top="0.75" bottom="0.75" header="0.3" footer="0.3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0F3B9-74E3-4C35-9BD5-4CC8EACD2365}">
  <sheetPr codeName="Sheet17">
    <tabColor theme="5" tint="0.79998168889431442"/>
  </sheetPr>
  <dimension ref="B1:I100"/>
  <sheetViews>
    <sheetView showGridLines="0" workbookViewId="0">
      <selection activeCell="H8" sqref="H8"/>
    </sheetView>
  </sheetViews>
  <sheetFormatPr baseColWidth="10" defaultColWidth="8.83203125" defaultRowHeight="15" x14ac:dyDescent="0.2"/>
  <cols>
    <col min="1" max="1" width="2.83203125" customWidth="1"/>
    <col min="2" max="2" width="10" bestFit="1" customWidth="1"/>
    <col min="3" max="3" width="10.6640625" bestFit="1" customWidth="1"/>
    <col min="5" max="5" width="13.5" bestFit="1" customWidth="1"/>
    <col min="6" max="6" width="10.33203125" bestFit="1" customWidth="1"/>
    <col min="8" max="9" width="11.5" customWidth="1"/>
  </cols>
  <sheetData>
    <row r="1" spans="2:9" ht="25.5" customHeight="1" x14ac:dyDescent="0.25">
      <c r="B1" s="18" t="s">
        <v>291</v>
      </c>
    </row>
    <row r="2" spans="2:9" ht="15" customHeight="1" x14ac:dyDescent="0.2">
      <c r="B2" s="30" t="s">
        <v>82</v>
      </c>
    </row>
    <row r="3" spans="2:9" ht="18" customHeight="1" x14ac:dyDescent="0.2"/>
    <row r="4" spans="2:9" x14ac:dyDescent="0.2">
      <c r="E4" s="3" t="s">
        <v>54</v>
      </c>
      <c r="H4" s="3" t="s">
        <v>54</v>
      </c>
    </row>
    <row r="5" spans="2:9" x14ac:dyDescent="0.2">
      <c r="B5" s="7" t="s">
        <v>20</v>
      </c>
      <c r="C5" s="7" t="s">
        <v>77</v>
      </c>
      <c r="E5" s="115" t="s">
        <v>86</v>
      </c>
      <c r="F5" s="115"/>
      <c r="H5" s="115" t="s">
        <v>87</v>
      </c>
      <c r="I5" s="115"/>
    </row>
    <row r="6" spans="2:9" x14ac:dyDescent="0.2">
      <c r="B6" s="8">
        <v>1</v>
      </c>
      <c r="C6" s="8">
        <v>90.2</v>
      </c>
      <c r="E6" s="20" t="s">
        <v>46</v>
      </c>
      <c r="F6" s="75">
        <f>AVERAGE(C6:C100)</f>
        <v>80.169473684210516</v>
      </c>
      <c r="H6" s="20" t="s">
        <v>88</v>
      </c>
      <c r="I6" s="17">
        <v>6</v>
      </c>
    </row>
    <row r="7" spans="2:9" x14ac:dyDescent="0.2">
      <c r="B7" s="8">
        <v>2</v>
      </c>
      <c r="C7" s="8">
        <v>92.8</v>
      </c>
      <c r="E7" s="20" t="s">
        <v>70</v>
      </c>
      <c r="F7" s="75">
        <f>_xlfn.STDEV.S(C6:C100)</f>
        <v>6.1707800411122609</v>
      </c>
      <c r="H7" s="20" t="s">
        <v>89</v>
      </c>
      <c r="I7" s="71">
        <f>VLOOKUP(I6,B6:C100,2,FALSE)</f>
        <v>80.7</v>
      </c>
    </row>
    <row r="8" spans="2:9" x14ac:dyDescent="0.2">
      <c r="B8" s="8">
        <v>3</v>
      </c>
      <c r="C8" s="8">
        <v>68.7</v>
      </c>
      <c r="H8" s="20" t="s">
        <v>90</v>
      </c>
      <c r="I8" s="75">
        <f>STANDARDIZE(I7,F6,F7)</f>
        <v>8.5973946932949116E-2</v>
      </c>
    </row>
    <row r="9" spans="2:9" x14ac:dyDescent="0.2">
      <c r="B9" s="8">
        <v>4</v>
      </c>
      <c r="C9" s="8">
        <v>80.7</v>
      </c>
    </row>
    <row r="10" spans="2:9" x14ac:dyDescent="0.2">
      <c r="B10" s="8">
        <v>5</v>
      </c>
      <c r="C10" s="8">
        <v>74.900000000000006</v>
      </c>
    </row>
    <row r="11" spans="2:9" x14ac:dyDescent="0.2">
      <c r="B11" s="8">
        <v>6</v>
      </c>
      <c r="C11" s="8">
        <v>80.7</v>
      </c>
    </row>
    <row r="12" spans="2:9" x14ac:dyDescent="0.2">
      <c r="B12" s="8">
        <v>7</v>
      </c>
      <c r="C12" s="8">
        <v>83.3</v>
      </c>
    </row>
    <row r="13" spans="2:9" x14ac:dyDescent="0.2">
      <c r="B13" s="8">
        <v>8</v>
      </c>
      <c r="C13" s="8">
        <v>88.7</v>
      </c>
    </row>
    <row r="14" spans="2:9" x14ac:dyDescent="0.2">
      <c r="B14" s="8">
        <v>9</v>
      </c>
      <c r="C14" s="8">
        <v>75.400000000000006</v>
      </c>
    </row>
    <row r="15" spans="2:9" x14ac:dyDescent="0.2">
      <c r="B15" s="8">
        <v>10</v>
      </c>
      <c r="C15" s="8">
        <v>82.1</v>
      </c>
    </row>
    <row r="16" spans="2:9" x14ac:dyDescent="0.2">
      <c r="B16" s="8">
        <v>11</v>
      </c>
      <c r="C16" s="8">
        <v>87.5</v>
      </c>
    </row>
    <row r="17" spans="2:3" x14ac:dyDescent="0.2">
      <c r="B17" s="8">
        <v>12</v>
      </c>
      <c r="C17" s="8">
        <v>66.900000000000006</v>
      </c>
    </row>
    <row r="18" spans="2:3" x14ac:dyDescent="0.2">
      <c r="B18" s="8">
        <v>13</v>
      </c>
      <c r="C18" s="8">
        <v>71.3</v>
      </c>
    </row>
    <row r="19" spans="2:3" x14ac:dyDescent="0.2">
      <c r="B19" s="8">
        <v>14</v>
      </c>
      <c r="C19" s="8">
        <v>76.8</v>
      </c>
    </row>
    <row r="20" spans="2:3" x14ac:dyDescent="0.2">
      <c r="B20" s="8">
        <v>15</v>
      </c>
      <c r="C20" s="8">
        <v>72.3</v>
      </c>
    </row>
    <row r="21" spans="2:3" x14ac:dyDescent="0.2">
      <c r="B21" s="8">
        <v>16</v>
      </c>
      <c r="C21" s="8">
        <v>72.400000000000006</v>
      </c>
    </row>
    <row r="22" spans="2:3" x14ac:dyDescent="0.2">
      <c r="B22" s="8">
        <v>17</v>
      </c>
      <c r="C22" s="8">
        <v>72</v>
      </c>
    </row>
    <row r="23" spans="2:3" x14ac:dyDescent="0.2">
      <c r="B23" s="8">
        <v>18</v>
      </c>
      <c r="C23" s="8">
        <v>81</v>
      </c>
    </row>
    <row r="24" spans="2:3" x14ac:dyDescent="0.2">
      <c r="B24" s="8">
        <v>19</v>
      </c>
      <c r="C24" s="8">
        <v>96.1</v>
      </c>
    </row>
    <row r="25" spans="2:3" x14ac:dyDescent="0.2">
      <c r="B25" s="8">
        <v>20</v>
      </c>
      <c r="C25" s="8">
        <v>76.7</v>
      </c>
    </row>
    <row r="26" spans="2:3" x14ac:dyDescent="0.2">
      <c r="B26" s="8">
        <v>21</v>
      </c>
      <c r="C26" s="8">
        <v>80.3</v>
      </c>
    </row>
    <row r="27" spans="2:3" x14ac:dyDescent="0.2">
      <c r="B27" s="8">
        <v>22</v>
      </c>
      <c r="C27" s="8">
        <v>77.8</v>
      </c>
    </row>
    <row r="28" spans="2:3" x14ac:dyDescent="0.2">
      <c r="B28" s="8">
        <v>23</v>
      </c>
      <c r="C28" s="8">
        <v>62.6</v>
      </c>
    </row>
    <row r="29" spans="2:3" x14ac:dyDescent="0.2">
      <c r="B29" s="8">
        <v>24</v>
      </c>
      <c r="C29" s="8">
        <v>80.2</v>
      </c>
    </row>
    <row r="30" spans="2:3" x14ac:dyDescent="0.2">
      <c r="B30" s="8">
        <v>25</v>
      </c>
      <c r="C30" s="8">
        <v>79.099999999999994</v>
      </c>
    </row>
    <row r="31" spans="2:3" x14ac:dyDescent="0.2">
      <c r="B31" s="8">
        <v>26</v>
      </c>
      <c r="C31" s="8">
        <v>77.8</v>
      </c>
    </row>
    <row r="32" spans="2:3" x14ac:dyDescent="0.2">
      <c r="B32" s="8">
        <v>27</v>
      </c>
      <c r="C32" s="8">
        <v>75.099999999999994</v>
      </c>
    </row>
    <row r="33" spans="2:3" x14ac:dyDescent="0.2">
      <c r="B33" s="8">
        <v>28</v>
      </c>
      <c r="C33" s="8">
        <v>82.2</v>
      </c>
    </row>
    <row r="34" spans="2:3" x14ac:dyDescent="0.2">
      <c r="B34" s="8">
        <v>29</v>
      </c>
      <c r="C34" s="8">
        <v>70.5</v>
      </c>
    </row>
    <row r="35" spans="2:3" x14ac:dyDescent="0.2">
      <c r="B35" s="8">
        <v>30</v>
      </c>
      <c r="C35" s="8">
        <v>70.8</v>
      </c>
    </row>
    <row r="36" spans="2:3" x14ac:dyDescent="0.2">
      <c r="B36" s="8">
        <v>31</v>
      </c>
      <c r="C36" s="8">
        <v>87.5</v>
      </c>
    </row>
    <row r="37" spans="2:3" x14ac:dyDescent="0.2">
      <c r="B37" s="8">
        <v>32</v>
      </c>
      <c r="C37" s="8">
        <v>79.5</v>
      </c>
    </row>
    <row r="38" spans="2:3" x14ac:dyDescent="0.2">
      <c r="B38" s="8">
        <v>33</v>
      </c>
      <c r="C38" s="8">
        <v>80.8</v>
      </c>
    </row>
    <row r="39" spans="2:3" x14ac:dyDescent="0.2">
      <c r="B39" s="8">
        <v>34</v>
      </c>
      <c r="C39" s="8">
        <v>79.599999999999994</v>
      </c>
    </row>
    <row r="40" spans="2:3" x14ac:dyDescent="0.2">
      <c r="B40" s="8">
        <v>35</v>
      </c>
      <c r="C40" s="8">
        <v>88.9</v>
      </c>
    </row>
    <row r="41" spans="2:3" x14ac:dyDescent="0.2">
      <c r="B41" s="8">
        <v>36</v>
      </c>
      <c r="C41" s="8">
        <v>85.9</v>
      </c>
    </row>
    <row r="42" spans="2:3" x14ac:dyDescent="0.2">
      <c r="B42" s="8">
        <v>37</v>
      </c>
      <c r="C42" s="8">
        <v>82.3</v>
      </c>
    </row>
    <row r="43" spans="2:3" x14ac:dyDescent="0.2">
      <c r="B43" s="8">
        <v>38</v>
      </c>
      <c r="C43" s="8">
        <v>76.7</v>
      </c>
    </row>
    <row r="44" spans="2:3" x14ac:dyDescent="0.2">
      <c r="B44" s="8">
        <v>39</v>
      </c>
      <c r="C44" s="8">
        <v>79.900000000000006</v>
      </c>
    </row>
    <row r="45" spans="2:3" x14ac:dyDescent="0.2">
      <c r="B45" s="8">
        <v>40</v>
      </c>
      <c r="C45" s="8">
        <v>86.2</v>
      </c>
    </row>
    <row r="46" spans="2:3" x14ac:dyDescent="0.2">
      <c r="B46" s="8">
        <v>41</v>
      </c>
      <c r="C46" s="8">
        <v>79.2</v>
      </c>
    </row>
    <row r="47" spans="2:3" x14ac:dyDescent="0.2">
      <c r="B47" s="8">
        <v>42</v>
      </c>
      <c r="C47" s="8">
        <v>83.4</v>
      </c>
    </row>
    <row r="48" spans="2:3" x14ac:dyDescent="0.2">
      <c r="B48" s="8">
        <v>43</v>
      </c>
      <c r="C48" s="8">
        <v>85.2</v>
      </c>
    </row>
    <row r="49" spans="2:3" x14ac:dyDescent="0.2">
      <c r="B49" s="8">
        <v>44</v>
      </c>
      <c r="C49" s="8">
        <v>77.8</v>
      </c>
    </row>
    <row r="50" spans="2:3" x14ac:dyDescent="0.2">
      <c r="B50" s="8">
        <v>45</v>
      </c>
      <c r="C50" s="8">
        <v>80.2</v>
      </c>
    </row>
    <row r="51" spans="2:3" x14ac:dyDescent="0.2">
      <c r="B51" s="8">
        <v>46</v>
      </c>
      <c r="C51" s="8">
        <v>71</v>
      </c>
    </row>
    <row r="52" spans="2:3" x14ac:dyDescent="0.2">
      <c r="B52" s="8">
        <v>47</v>
      </c>
      <c r="C52" s="8">
        <v>87.2</v>
      </c>
    </row>
    <row r="53" spans="2:3" x14ac:dyDescent="0.2">
      <c r="B53" s="8">
        <v>48</v>
      </c>
      <c r="C53" s="8">
        <v>82.9</v>
      </c>
    </row>
    <row r="54" spans="2:3" x14ac:dyDescent="0.2">
      <c r="B54" s="8">
        <v>49</v>
      </c>
      <c r="C54" s="8">
        <v>73.5</v>
      </c>
    </row>
    <row r="55" spans="2:3" x14ac:dyDescent="0.2">
      <c r="B55" s="8">
        <v>50</v>
      </c>
      <c r="C55" s="8">
        <v>74.599999999999994</v>
      </c>
    </row>
    <row r="56" spans="2:3" x14ac:dyDescent="0.2">
      <c r="B56" s="8">
        <v>51</v>
      </c>
      <c r="C56" s="8">
        <v>75.099999999999994</v>
      </c>
    </row>
    <row r="57" spans="2:3" x14ac:dyDescent="0.2">
      <c r="B57" s="8">
        <v>52</v>
      </c>
      <c r="C57" s="8">
        <v>85.1</v>
      </c>
    </row>
    <row r="58" spans="2:3" x14ac:dyDescent="0.2">
      <c r="B58" s="8">
        <v>53</v>
      </c>
      <c r="C58" s="8">
        <v>74.900000000000006</v>
      </c>
    </row>
    <row r="59" spans="2:3" x14ac:dyDescent="0.2">
      <c r="B59" s="8">
        <v>54</v>
      </c>
      <c r="C59" s="8">
        <v>84.6</v>
      </c>
    </row>
    <row r="60" spans="2:3" x14ac:dyDescent="0.2">
      <c r="B60" s="8">
        <v>55</v>
      </c>
      <c r="C60" s="8">
        <v>81.7</v>
      </c>
    </row>
    <row r="61" spans="2:3" x14ac:dyDescent="0.2">
      <c r="B61" s="8">
        <v>56</v>
      </c>
      <c r="C61" s="8">
        <v>81.400000000000006</v>
      </c>
    </row>
    <row r="62" spans="2:3" x14ac:dyDescent="0.2">
      <c r="B62" s="8">
        <v>57</v>
      </c>
      <c r="C62" s="8">
        <v>83.8</v>
      </c>
    </row>
    <row r="63" spans="2:3" x14ac:dyDescent="0.2">
      <c r="B63" s="8">
        <v>58</v>
      </c>
      <c r="C63" s="8">
        <v>88.5</v>
      </c>
    </row>
    <row r="64" spans="2:3" x14ac:dyDescent="0.2">
      <c r="B64" s="8">
        <v>59</v>
      </c>
      <c r="C64" s="8">
        <v>84.9</v>
      </c>
    </row>
    <row r="65" spans="2:3" x14ac:dyDescent="0.2">
      <c r="B65" s="8">
        <v>60</v>
      </c>
      <c r="C65" s="8">
        <v>84.3</v>
      </c>
    </row>
    <row r="66" spans="2:3" x14ac:dyDescent="0.2">
      <c r="B66" s="8">
        <v>61</v>
      </c>
      <c r="C66" s="8">
        <v>78.2</v>
      </c>
    </row>
    <row r="67" spans="2:3" x14ac:dyDescent="0.2">
      <c r="B67" s="8">
        <v>62</v>
      </c>
      <c r="C67" s="8">
        <v>80</v>
      </c>
    </row>
    <row r="68" spans="2:3" x14ac:dyDescent="0.2">
      <c r="B68" s="8">
        <v>63</v>
      </c>
      <c r="C68" s="8">
        <v>74.8</v>
      </c>
    </row>
    <row r="69" spans="2:3" x14ac:dyDescent="0.2">
      <c r="B69" s="8">
        <v>64</v>
      </c>
      <c r="C69" s="8">
        <v>78.5</v>
      </c>
    </row>
    <row r="70" spans="2:3" x14ac:dyDescent="0.2">
      <c r="B70" s="8">
        <v>65</v>
      </c>
      <c r="C70" s="8">
        <v>71.8</v>
      </c>
    </row>
    <row r="71" spans="2:3" x14ac:dyDescent="0.2">
      <c r="B71" s="8">
        <v>66</v>
      </c>
      <c r="C71" s="8">
        <v>69.900000000000006</v>
      </c>
    </row>
    <row r="72" spans="2:3" x14ac:dyDescent="0.2">
      <c r="B72" s="8">
        <v>67</v>
      </c>
      <c r="C72" s="8">
        <v>82.7</v>
      </c>
    </row>
    <row r="73" spans="2:3" x14ac:dyDescent="0.2">
      <c r="B73" s="8">
        <v>68</v>
      </c>
      <c r="C73" s="8">
        <v>74</v>
      </c>
    </row>
    <row r="74" spans="2:3" x14ac:dyDescent="0.2">
      <c r="B74" s="8">
        <v>69</v>
      </c>
      <c r="C74" s="8">
        <v>84</v>
      </c>
    </row>
    <row r="75" spans="2:3" x14ac:dyDescent="0.2">
      <c r="B75" s="8">
        <v>70</v>
      </c>
      <c r="C75" s="8">
        <v>84.7</v>
      </c>
    </row>
    <row r="76" spans="2:3" x14ac:dyDescent="0.2">
      <c r="B76" s="8">
        <v>71</v>
      </c>
      <c r="C76" s="8">
        <v>78.2</v>
      </c>
    </row>
    <row r="77" spans="2:3" x14ac:dyDescent="0.2">
      <c r="B77" s="8">
        <v>72</v>
      </c>
      <c r="C77" s="8">
        <v>85</v>
      </c>
    </row>
    <row r="78" spans="2:3" x14ac:dyDescent="0.2">
      <c r="B78" s="8">
        <v>73</v>
      </c>
      <c r="C78" s="8">
        <v>80.099999999999994</v>
      </c>
    </row>
    <row r="79" spans="2:3" x14ac:dyDescent="0.2">
      <c r="B79" s="8">
        <v>74</v>
      </c>
      <c r="C79" s="8">
        <v>85.3</v>
      </c>
    </row>
    <row r="80" spans="2:3" x14ac:dyDescent="0.2">
      <c r="B80" s="8">
        <v>75</v>
      </c>
      <c r="C80" s="8">
        <v>79.7</v>
      </c>
    </row>
    <row r="81" spans="2:3" x14ac:dyDescent="0.2">
      <c r="B81" s="8">
        <v>76</v>
      </c>
      <c r="C81" s="8">
        <v>79.599999999999994</v>
      </c>
    </row>
    <row r="82" spans="2:3" x14ac:dyDescent="0.2">
      <c r="B82" s="8">
        <v>77</v>
      </c>
      <c r="C82" s="8">
        <v>78.900000000000006</v>
      </c>
    </row>
    <row r="83" spans="2:3" x14ac:dyDescent="0.2">
      <c r="B83" s="8">
        <v>78</v>
      </c>
      <c r="C83" s="8">
        <v>78.5</v>
      </c>
    </row>
    <row r="84" spans="2:3" x14ac:dyDescent="0.2">
      <c r="B84" s="8">
        <v>79</v>
      </c>
      <c r="C84" s="8">
        <v>72</v>
      </c>
    </row>
    <row r="85" spans="2:3" x14ac:dyDescent="0.2">
      <c r="B85" s="8">
        <v>80</v>
      </c>
      <c r="C85" s="8">
        <v>74.2</v>
      </c>
    </row>
    <row r="86" spans="2:3" x14ac:dyDescent="0.2">
      <c r="B86" s="8">
        <v>81</v>
      </c>
      <c r="C86" s="8">
        <v>71.7</v>
      </c>
    </row>
    <row r="87" spans="2:3" x14ac:dyDescent="0.2">
      <c r="B87" s="8">
        <v>82</v>
      </c>
      <c r="C87" s="8">
        <v>80.7</v>
      </c>
    </row>
    <row r="88" spans="2:3" x14ac:dyDescent="0.2">
      <c r="B88" s="8">
        <v>83</v>
      </c>
      <c r="C88" s="8">
        <v>84.1</v>
      </c>
    </row>
    <row r="89" spans="2:3" x14ac:dyDescent="0.2">
      <c r="B89" s="8">
        <v>84</v>
      </c>
      <c r="C89" s="8">
        <v>87.4</v>
      </c>
    </row>
    <row r="90" spans="2:3" x14ac:dyDescent="0.2">
      <c r="B90" s="8">
        <v>85</v>
      </c>
      <c r="C90" s="8">
        <v>77.400000000000006</v>
      </c>
    </row>
    <row r="91" spans="2:3" x14ac:dyDescent="0.2">
      <c r="B91" s="8">
        <v>86</v>
      </c>
      <c r="C91" s="8">
        <v>84.7</v>
      </c>
    </row>
    <row r="92" spans="2:3" x14ac:dyDescent="0.2">
      <c r="B92" s="8">
        <v>87</v>
      </c>
      <c r="C92" s="8">
        <v>78.8</v>
      </c>
    </row>
    <row r="93" spans="2:3" x14ac:dyDescent="0.2">
      <c r="B93" s="8">
        <v>88</v>
      </c>
      <c r="C93" s="8">
        <v>92.7</v>
      </c>
    </row>
    <row r="94" spans="2:3" x14ac:dyDescent="0.2">
      <c r="B94" s="8">
        <v>89</v>
      </c>
      <c r="C94" s="8">
        <v>88.8</v>
      </c>
    </row>
    <row r="95" spans="2:3" x14ac:dyDescent="0.2">
      <c r="B95" s="8">
        <v>90</v>
      </c>
      <c r="C95" s="8">
        <v>86.6</v>
      </c>
    </row>
    <row r="96" spans="2:3" x14ac:dyDescent="0.2">
      <c r="B96" s="8">
        <v>91</v>
      </c>
      <c r="C96" s="8">
        <v>77.900000000000006</v>
      </c>
    </row>
    <row r="97" spans="2:3" x14ac:dyDescent="0.2">
      <c r="B97" s="8">
        <v>92</v>
      </c>
      <c r="C97" s="8">
        <v>86.1</v>
      </c>
    </row>
    <row r="98" spans="2:3" x14ac:dyDescent="0.2">
      <c r="B98" s="8">
        <v>93</v>
      </c>
      <c r="C98" s="8">
        <v>89.9</v>
      </c>
    </row>
    <row r="99" spans="2:3" x14ac:dyDescent="0.2">
      <c r="B99" s="8">
        <v>94</v>
      </c>
      <c r="C99" s="8">
        <v>83.1</v>
      </c>
    </row>
    <row r="100" spans="2:3" x14ac:dyDescent="0.2">
      <c r="B100" s="8">
        <v>95</v>
      </c>
      <c r="C100" s="8">
        <v>82.6</v>
      </c>
    </row>
  </sheetData>
  <mergeCells count="2">
    <mergeCell ref="E5:F5"/>
    <mergeCell ref="H5:I5"/>
  </mergeCells>
  <dataValidations count="1">
    <dataValidation type="list" allowBlank="1" showInputMessage="1" showErrorMessage="1" sqref="I6" xr:uid="{87BF1D10-BE58-4A59-983D-1D1EB63B73CA}">
      <formula1>$B$6:$B$100</formula1>
    </dataValidation>
  </dataValidations>
  <pageMargins left="0.7" right="0.7" top="0.75" bottom="0.75" header="0.3" footer="0.3"/>
  <pageSetup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DFC24-8C8F-40CE-B015-4810A25FC490}">
  <sheetPr codeName="Sheet18">
    <tabColor theme="5" tint="0.79998168889431442"/>
  </sheetPr>
  <dimension ref="B1:J100"/>
  <sheetViews>
    <sheetView showGridLines="0" workbookViewId="0">
      <selection activeCell="H7" sqref="H7"/>
    </sheetView>
  </sheetViews>
  <sheetFormatPr baseColWidth="10" defaultColWidth="8.83203125" defaultRowHeight="15" x14ac:dyDescent="0.2"/>
  <cols>
    <col min="1" max="1" width="2.83203125" customWidth="1"/>
    <col min="2" max="2" width="10.6640625" bestFit="1" customWidth="1"/>
    <col min="4" max="5" width="11.5" customWidth="1"/>
    <col min="7" max="7" width="21.6640625" customWidth="1"/>
    <col min="8" max="8" width="9.1640625" customWidth="1"/>
  </cols>
  <sheetData>
    <row r="1" spans="2:10" ht="25.5" customHeight="1" x14ac:dyDescent="0.25">
      <c r="B1" s="18" t="s">
        <v>128</v>
      </c>
    </row>
    <row r="2" spans="2:10" ht="15" customHeight="1" x14ac:dyDescent="0.2">
      <c r="B2" s="30" t="s">
        <v>83</v>
      </c>
    </row>
    <row r="3" spans="2:10" ht="18" customHeight="1" x14ac:dyDescent="0.2"/>
    <row r="4" spans="2:10" x14ac:dyDescent="0.2">
      <c r="D4" s="3" t="s">
        <v>54</v>
      </c>
      <c r="G4" s="3" t="s">
        <v>54</v>
      </c>
    </row>
    <row r="5" spans="2:10" x14ac:dyDescent="0.2">
      <c r="B5" s="7" t="s">
        <v>77</v>
      </c>
      <c r="D5" s="115" t="s">
        <v>86</v>
      </c>
      <c r="E5" s="115"/>
      <c r="G5" s="115" t="s">
        <v>96</v>
      </c>
      <c r="H5" s="115"/>
      <c r="I5" s="115"/>
      <c r="J5" s="115"/>
    </row>
    <row r="6" spans="2:10" ht="15" customHeight="1" x14ac:dyDescent="0.2">
      <c r="B6" s="8">
        <v>90.2</v>
      </c>
      <c r="D6" s="20" t="s">
        <v>46</v>
      </c>
      <c r="E6" s="75">
        <f>AVERAGE(B6:B100)</f>
        <v>80.169473684210516</v>
      </c>
      <c r="G6" s="27" t="s">
        <v>91</v>
      </c>
      <c r="H6" s="17">
        <v>1</v>
      </c>
      <c r="I6" s="17">
        <v>2</v>
      </c>
      <c r="J6" s="17">
        <v>3</v>
      </c>
    </row>
    <row r="7" spans="2:10" ht="16" x14ac:dyDescent="0.2">
      <c r="B7" s="8">
        <v>92.8</v>
      </c>
      <c r="D7" s="20" t="s">
        <v>70</v>
      </c>
      <c r="E7" s="75">
        <f>_xlfn.STDEV.S(B6:B100)</f>
        <v>6.1707800411122609</v>
      </c>
      <c r="G7" s="27" t="s">
        <v>92</v>
      </c>
      <c r="H7" s="72">
        <f>$E$6-H6*$E$7</f>
        <v>73.99869364309825</v>
      </c>
      <c r="I7" s="72">
        <f t="shared" ref="I7:J7" si="0">$E$6-I6*$E$7</f>
        <v>67.827913601985998</v>
      </c>
      <c r="J7" s="72">
        <f t="shared" si="0"/>
        <v>61.657133560873731</v>
      </c>
    </row>
    <row r="8" spans="2:10" ht="16" x14ac:dyDescent="0.2">
      <c r="B8" s="8">
        <v>68.7</v>
      </c>
      <c r="G8" s="27" t="s">
        <v>93</v>
      </c>
      <c r="H8" s="72">
        <f>$E$6+H6*$E$7</f>
        <v>86.340253725322782</v>
      </c>
      <c r="I8" s="72">
        <f t="shared" ref="I8:J8" si="1">$E$6+I6*$E$7</f>
        <v>92.511033766435034</v>
      </c>
      <c r="J8" s="72">
        <f t="shared" si="1"/>
        <v>98.6818138075473</v>
      </c>
    </row>
    <row r="9" spans="2:10" ht="16" x14ac:dyDescent="0.2">
      <c r="B9" s="8">
        <v>80.7</v>
      </c>
      <c r="G9" s="27" t="s">
        <v>94</v>
      </c>
      <c r="H9" s="77">
        <v>0.68</v>
      </c>
      <c r="I9" s="77">
        <v>0.95</v>
      </c>
      <c r="J9" s="78">
        <v>0.997</v>
      </c>
    </row>
    <row r="10" spans="2:10" ht="16" x14ac:dyDescent="0.2">
      <c r="B10" s="8">
        <v>74.900000000000006</v>
      </c>
      <c r="G10" s="27" t="s">
        <v>95</v>
      </c>
      <c r="H10" s="79">
        <f>COUNTIFS($B$6:$B$100,"&gt;="&amp;H7,$B$6:$B$100,"&lt;="&amp;H8)/COUNT($B$6:$B$100)</f>
        <v>0.69473684210526321</v>
      </c>
      <c r="I10" s="79">
        <f>COUNTIFS($B$6:$B$100,"&gt;="&amp;I7,$B$6:$B$100,"&lt;="&amp;I8)/COUNT($B$6:$B$100)</f>
        <v>0.94736842105263153</v>
      </c>
      <c r="J10" s="79">
        <f>COUNTIFS($B$6:$B$100,"&gt;="&amp;J7,$B$6:$B$100,"&lt;="&amp;J8)/COUNT($B$6:$B$100)</f>
        <v>1</v>
      </c>
    </row>
    <row r="11" spans="2:10" x14ac:dyDescent="0.2">
      <c r="B11" s="8">
        <v>80.7</v>
      </c>
    </row>
    <row r="12" spans="2:10" x14ac:dyDescent="0.2">
      <c r="B12" s="8">
        <v>83.3</v>
      </c>
    </row>
    <row r="13" spans="2:10" x14ac:dyDescent="0.2">
      <c r="B13" s="8">
        <v>88.7</v>
      </c>
    </row>
    <row r="14" spans="2:10" x14ac:dyDescent="0.2">
      <c r="B14" s="8">
        <v>75.400000000000006</v>
      </c>
    </row>
    <row r="15" spans="2:10" x14ac:dyDescent="0.2">
      <c r="B15" s="8">
        <v>82.1</v>
      </c>
    </row>
    <row r="16" spans="2:10" x14ac:dyDescent="0.2">
      <c r="B16" s="8">
        <v>87.5</v>
      </c>
    </row>
    <row r="17" spans="2:2" x14ac:dyDescent="0.2">
      <c r="B17" s="8">
        <v>66.900000000000006</v>
      </c>
    </row>
    <row r="18" spans="2:2" x14ac:dyDescent="0.2">
      <c r="B18" s="8">
        <v>71.3</v>
      </c>
    </row>
    <row r="19" spans="2:2" x14ac:dyDescent="0.2">
      <c r="B19" s="8">
        <v>76.8</v>
      </c>
    </row>
    <row r="20" spans="2:2" x14ac:dyDescent="0.2">
      <c r="B20" s="8">
        <v>72.3</v>
      </c>
    </row>
    <row r="21" spans="2:2" x14ac:dyDescent="0.2">
      <c r="B21" s="8">
        <v>72.400000000000006</v>
      </c>
    </row>
    <row r="22" spans="2:2" x14ac:dyDescent="0.2">
      <c r="B22" s="8">
        <v>72</v>
      </c>
    </row>
    <row r="23" spans="2:2" x14ac:dyDescent="0.2">
      <c r="B23" s="8">
        <v>81</v>
      </c>
    </row>
    <row r="24" spans="2:2" x14ac:dyDescent="0.2">
      <c r="B24" s="8">
        <v>96.1</v>
      </c>
    </row>
    <row r="25" spans="2:2" x14ac:dyDescent="0.2">
      <c r="B25" s="8">
        <v>76.7</v>
      </c>
    </row>
    <row r="26" spans="2:2" x14ac:dyDescent="0.2">
      <c r="B26" s="8">
        <v>80.3</v>
      </c>
    </row>
    <row r="27" spans="2:2" x14ac:dyDescent="0.2">
      <c r="B27" s="8">
        <v>77.8</v>
      </c>
    </row>
    <row r="28" spans="2:2" x14ac:dyDescent="0.2">
      <c r="B28" s="8">
        <v>62.6</v>
      </c>
    </row>
    <row r="29" spans="2:2" x14ac:dyDescent="0.2">
      <c r="B29" s="8">
        <v>80.2</v>
      </c>
    </row>
    <row r="30" spans="2:2" x14ac:dyDescent="0.2">
      <c r="B30" s="8">
        <v>79.099999999999994</v>
      </c>
    </row>
    <row r="31" spans="2:2" x14ac:dyDescent="0.2">
      <c r="B31" s="8">
        <v>77.8</v>
      </c>
    </row>
    <row r="32" spans="2:2" x14ac:dyDescent="0.2">
      <c r="B32" s="8">
        <v>75.099999999999994</v>
      </c>
    </row>
    <row r="33" spans="2:2" x14ac:dyDescent="0.2">
      <c r="B33" s="8">
        <v>82.2</v>
      </c>
    </row>
    <row r="34" spans="2:2" x14ac:dyDescent="0.2">
      <c r="B34" s="8">
        <v>70.5</v>
      </c>
    </row>
    <row r="35" spans="2:2" x14ac:dyDescent="0.2">
      <c r="B35" s="8">
        <v>70.8</v>
      </c>
    </row>
    <row r="36" spans="2:2" x14ac:dyDescent="0.2">
      <c r="B36" s="8">
        <v>87.5</v>
      </c>
    </row>
    <row r="37" spans="2:2" x14ac:dyDescent="0.2">
      <c r="B37" s="8">
        <v>79.5</v>
      </c>
    </row>
    <row r="38" spans="2:2" x14ac:dyDescent="0.2">
      <c r="B38" s="8">
        <v>80.8</v>
      </c>
    </row>
    <row r="39" spans="2:2" x14ac:dyDescent="0.2">
      <c r="B39" s="8">
        <v>79.599999999999994</v>
      </c>
    </row>
    <row r="40" spans="2:2" x14ac:dyDescent="0.2">
      <c r="B40" s="8">
        <v>88.9</v>
      </c>
    </row>
    <row r="41" spans="2:2" x14ac:dyDescent="0.2">
      <c r="B41" s="8">
        <v>85.9</v>
      </c>
    </row>
    <row r="42" spans="2:2" x14ac:dyDescent="0.2">
      <c r="B42" s="8">
        <v>82.3</v>
      </c>
    </row>
    <row r="43" spans="2:2" x14ac:dyDescent="0.2">
      <c r="B43" s="8">
        <v>76.7</v>
      </c>
    </row>
    <row r="44" spans="2:2" x14ac:dyDescent="0.2">
      <c r="B44" s="8">
        <v>79.900000000000006</v>
      </c>
    </row>
    <row r="45" spans="2:2" x14ac:dyDescent="0.2">
      <c r="B45" s="8">
        <v>86.2</v>
      </c>
    </row>
    <row r="46" spans="2:2" x14ac:dyDescent="0.2">
      <c r="B46" s="8">
        <v>79.2</v>
      </c>
    </row>
    <row r="47" spans="2:2" x14ac:dyDescent="0.2">
      <c r="B47" s="8">
        <v>83.4</v>
      </c>
    </row>
    <row r="48" spans="2:2" x14ac:dyDescent="0.2">
      <c r="B48" s="8">
        <v>85.2</v>
      </c>
    </row>
    <row r="49" spans="2:2" x14ac:dyDescent="0.2">
      <c r="B49" s="8">
        <v>77.8</v>
      </c>
    </row>
    <row r="50" spans="2:2" x14ac:dyDescent="0.2">
      <c r="B50" s="8">
        <v>80.2</v>
      </c>
    </row>
    <row r="51" spans="2:2" x14ac:dyDescent="0.2">
      <c r="B51" s="8">
        <v>71</v>
      </c>
    </row>
    <row r="52" spans="2:2" x14ac:dyDescent="0.2">
      <c r="B52" s="8">
        <v>87.2</v>
      </c>
    </row>
    <row r="53" spans="2:2" x14ac:dyDescent="0.2">
      <c r="B53" s="8">
        <v>82.9</v>
      </c>
    </row>
    <row r="54" spans="2:2" x14ac:dyDescent="0.2">
      <c r="B54" s="8">
        <v>73.5</v>
      </c>
    </row>
    <row r="55" spans="2:2" x14ac:dyDescent="0.2">
      <c r="B55" s="8">
        <v>74.599999999999994</v>
      </c>
    </row>
    <row r="56" spans="2:2" x14ac:dyDescent="0.2">
      <c r="B56" s="8">
        <v>75.099999999999994</v>
      </c>
    </row>
    <row r="57" spans="2:2" x14ac:dyDescent="0.2">
      <c r="B57" s="8">
        <v>85.1</v>
      </c>
    </row>
    <row r="58" spans="2:2" x14ac:dyDescent="0.2">
      <c r="B58" s="8">
        <v>74.900000000000006</v>
      </c>
    </row>
    <row r="59" spans="2:2" x14ac:dyDescent="0.2">
      <c r="B59" s="8">
        <v>84.6</v>
      </c>
    </row>
    <row r="60" spans="2:2" x14ac:dyDescent="0.2">
      <c r="B60" s="8">
        <v>81.7</v>
      </c>
    </row>
    <row r="61" spans="2:2" x14ac:dyDescent="0.2">
      <c r="B61" s="8">
        <v>81.400000000000006</v>
      </c>
    </row>
    <row r="62" spans="2:2" x14ac:dyDescent="0.2">
      <c r="B62" s="8">
        <v>83.8</v>
      </c>
    </row>
    <row r="63" spans="2:2" x14ac:dyDescent="0.2">
      <c r="B63" s="8">
        <v>88.5</v>
      </c>
    </row>
    <row r="64" spans="2:2" x14ac:dyDescent="0.2">
      <c r="B64" s="8">
        <v>84.9</v>
      </c>
    </row>
    <row r="65" spans="2:2" x14ac:dyDescent="0.2">
      <c r="B65" s="8">
        <v>84.3</v>
      </c>
    </row>
    <row r="66" spans="2:2" x14ac:dyDescent="0.2">
      <c r="B66" s="8">
        <v>78.2</v>
      </c>
    </row>
    <row r="67" spans="2:2" x14ac:dyDescent="0.2">
      <c r="B67" s="8">
        <v>80</v>
      </c>
    </row>
    <row r="68" spans="2:2" x14ac:dyDescent="0.2">
      <c r="B68" s="8">
        <v>74.8</v>
      </c>
    </row>
    <row r="69" spans="2:2" x14ac:dyDescent="0.2">
      <c r="B69" s="8">
        <v>78.5</v>
      </c>
    </row>
    <row r="70" spans="2:2" x14ac:dyDescent="0.2">
      <c r="B70" s="8">
        <v>71.8</v>
      </c>
    </row>
    <row r="71" spans="2:2" x14ac:dyDescent="0.2">
      <c r="B71" s="8">
        <v>69.900000000000006</v>
      </c>
    </row>
    <row r="72" spans="2:2" x14ac:dyDescent="0.2">
      <c r="B72" s="8">
        <v>82.7</v>
      </c>
    </row>
    <row r="73" spans="2:2" x14ac:dyDescent="0.2">
      <c r="B73" s="8">
        <v>74</v>
      </c>
    </row>
    <row r="74" spans="2:2" x14ac:dyDescent="0.2">
      <c r="B74" s="8">
        <v>84</v>
      </c>
    </row>
    <row r="75" spans="2:2" x14ac:dyDescent="0.2">
      <c r="B75" s="8">
        <v>84.7</v>
      </c>
    </row>
    <row r="76" spans="2:2" x14ac:dyDescent="0.2">
      <c r="B76" s="8">
        <v>78.2</v>
      </c>
    </row>
    <row r="77" spans="2:2" x14ac:dyDescent="0.2">
      <c r="B77" s="8">
        <v>85</v>
      </c>
    </row>
    <row r="78" spans="2:2" x14ac:dyDescent="0.2">
      <c r="B78" s="8">
        <v>80.099999999999994</v>
      </c>
    </row>
    <row r="79" spans="2:2" x14ac:dyDescent="0.2">
      <c r="B79" s="8">
        <v>85.3</v>
      </c>
    </row>
    <row r="80" spans="2:2" x14ac:dyDescent="0.2">
      <c r="B80" s="8">
        <v>79.7</v>
      </c>
    </row>
    <row r="81" spans="2:2" x14ac:dyDescent="0.2">
      <c r="B81" s="8">
        <v>79.599999999999994</v>
      </c>
    </row>
    <row r="82" spans="2:2" x14ac:dyDescent="0.2">
      <c r="B82" s="8">
        <v>78.900000000000006</v>
      </c>
    </row>
    <row r="83" spans="2:2" x14ac:dyDescent="0.2">
      <c r="B83" s="8">
        <v>78.5</v>
      </c>
    </row>
    <row r="84" spans="2:2" x14ac:dyDescent="0.2">
      <c r="B84" s="8">
        <v>72</v>
      </c>
    </row>
    <row r="85" spans="2:2" x14ac:dyDescent="0.2">
      <c r="B85" s="8">
        <v>74.2</v>
      </c>
    </row>
    <row r="86" spans="2:2" x14ac:dyDescent="0.2">
      <c r="B86" s="8">
        <v>71.7</v>
      </c>
    </row>
    <row r="87" spans="2:2" x14ac:dyDescent="0.2">
      <c r="B87" s="8">
        <v>80.7</v>
      </c>
    </row>
    <row r="88" spans="2:2" x14ac:dyDescent="0.2">
      <c r="B88" s="8">
        <v>84.1</v>
      </c>
    </row>
    <row r="89" spans="2:2" x14ac:dyDescent="0.2">
      <c r="B89" s="8">
        <v>87.4</v>
      </c>
    </row>
    <row r="90" spans="2:2" x14ac:dyDescent="0.2">
      <c r="B90" s="8">
        <v>77.400000000000006</v>
      </c>
    </row>
    <row r="91" spans="2:2" x14ac:dyDescent="0.2">
      <c r="B91" s="8">
        <v>84.7</v>
      </c>
    </row>
    <row r="92" spans="2:2" x14ac:dyDescent="0.2">
      <c r="B92" s="8">
        <v>78.8</v>
      </c>
    </row>
    <row r="93" spans="2:2" x14ac:dyDescent="0.2">
      <c r="B93" s="8">
        <v>92.7</v>
      </c>
    </row>
    <row r="94" spans="2:2" x14ac:dyDescent="0.2">
      <c r="B94" s="8">
        <v>88.8</v>
      </c>
    </row>
    <row r="95" spans="2:2" x14ac:dyDescent="0.2">
      <c r="B95" s="8">
        <v>86.6</v>
      </c>
    </row>
    <row r="96" spans="2:2" x14ac:dyDescent="0.2">
      <c r="B96" s="8">
        <v>77.900000000000006</v>
      </c>
    </row>
    <row r="97" spans="2:2" x14ac:dyDescent="0.2">
      <c r="B97" s="8">
        <v>86.1</v>
      </c>
    </row>
    <row r="98" spans="2:2" x14ac:dyDescent="0.2">
      <c r="B98" s="8">
        <v>89.9</v>
      </c>
    </row>
    <row r="99" spans="2:2" x14ac:dyDescent="0.2">
      <c r="B99" s="8">
        <v>83.1</v>
      </c>
    </row>
    <row r="100" spans="2:2" x14ac:dyDescent="0.2">
      <c r="B100" s="8">
        <v>82.6</v>
      </c>
    </row>
  </sheetData>
  <mergeCells count="2">
    <mergeCell ref="D5:E5"/>
    <mergeCell ref="G5:J5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AFAF2-7BA0-4CFF-A102-57A5EF5851D4}">
  <sheetPr codeName="Sheet19">
    <tabColor theme="5" tint="0.59999389629810485"/>
  </sheetPr>
  <dimension ref="B1:M58"/>
  <sheetViews>
    <sheetView showGridLines="0" workbookViewId="0">
      <selection activeCell="E7" sqref="E7"/>
    </sheetView>
  </sheetViews>
  <sheetFormatPr baseColWidth="10" defaultColWidth="8.83203125" defaultRowHeight="15" x14ac:dyDescent="0.2"/>
  <cols>
    <col min="1" max="1" width="2.83203125" customWidth="1"/>
    <col min="2" max="2" width="13.1640625" bestFit="1" customWidth="1"/>
    <col min="4" max="5" width="11.5" customWidth="1"/>
    <col min="7" max="8" width="11.5" customWidth="1"/>
    <col min="11" max="13" width="11.5" customWidth="1"/>
  </cols>
  <sheetData>
    <row r="1" spans="2:13" ht="25.5" customHeight="1" x14ac:dyDescent="0.25">
      <c r="B1" s="18" t="s">
        <v>129</v>
      </c>
    </row>
    <row r="2" spans="2:13" ht="15" customHeight="1" x14ac:dyDescent="0.2">
      <c r="B2" s="30" t="s">
        <v>292</v>
      </c>
    </row>
    <row r="3" spans="2:13" ht="18" customHeight="1" x14ac:dyDescent="0.2"/>
    <row r="4" spans="2:13" x14ac:dyDescent="0.2">
      <c r="D4" s="3" t="s">
        <v>54</v>
      </c>
      <c r="G4" s="3" t="s">
        <v>54</v>
      </c>
      <c r="J4" s="3" t="s">
        <v>54</v>
      </c>
    </row>
    <row r="5" spans="2:13" x14ac:dyDescent="0.2">
      <c r="B5" s="7" t="s">
        <v>35</v>
      </c>
      <c r="D5" s="115" t="s">
        <v>85</v>
      </c>
      <c r="E5" s="115"/>
      <c r="G5" s="115" t="s">
        <v>86</v>
      </c>
      <c r="H5" s="115"/>
      <c r="J5" s="115" t="s">
        <v>96</v>
      </c>
      <c r="K5" s="115"/>
      <c r="L5" s="115"/>
      <c r="M5" s="115"/>
    </row>
    <row r="6" spans="2:13" ht="15" customHeight="1" x14ac:dyDescent="0.2">
      <c r="B6" s="12">
        <v>111000</v>
      </c>
      <c r="D6" s="20" t="s">
        <v>46</v>
      </c>
      <c r="E6" s="80">
        <f>AVERAGE(B6:B58)</f>
        <v>119386.7924528302</v>
      </c>
      <c r="G6" s="20" t="s">
        <v>46</v>
      </c>
      <c r="H6" s="80">
        <f>E6</f>
        <v>119386.7924528302</v>
      </c>
      <c r="J6" s="27" t="s">
        <v>91</v>
      </c>
      <c r="K6" s="17">
        <v>1</v>
      </c>
      <c r="L6" s="17">
        <v>2</v>
      </c>
      <c r="M6" s="17">
        <v>3</v>
      </c>
    </row>
    <row r="7" spans="2:13" ht="16" x14ac:dyDescent="0.2">
      <c r="B7" s="12">
        <v>107000</v>
      </c>
      <c r="D7" s="20" t="s">
        <v>47</v>
      </c>
      <c r="E7" s="80">
        <f>MEDIAN(B6:B58)</f>
        <v>104500</v>
      </c>
      <c r="G7" s="20" t="s">
        <v>70</v>
      </c>
      <c r="H7" s="80">
        <f>_xlfn.STDEV.S(B6:B58)</f>
        <v>45546.958176470725</v>
      </c>
      <c r="J7" s="27" t="s">
        <v>92</v>
      </c>
      <c r="K7" s="80">
        <f>$H$6-K6*$H$7</f>
        <v>73839.83427635947</v>
      </c>
      <c r="L7" s="80">
        <f>$H$6-L6*$H$7</f>
        <v>28292.876099888745</v>
      </c>
      <c r="M7" s="80">
        <f>$H$6-M6*$H$7</f>
        <v>-17254.082076581995</v>
      </c>
    </row>
    <row r="8" spans="2:13" ht="16" x14ac:dyDescent="0.2">
      <c r="B8" s="12">
        <v>109000</v>
      </c>
      <c r="J8" s="27" t="s">
        <v>93</v>
      </c>
      <c r="K8" s="80">
        <f>$H$6+K6*$H$7</f>
        <v>164933.75062930092</v>
      </c>
      <c r="L8" s="80">
        <f>$H$6+L6*$H$7</f>
        <v>210480.70880577166</v>
      </c>
      <c r="M8" s="80">
        <f>$H$6+M6*$H$7</f>
        <v>256027.66698224237</v>
      </c>
    </row>
    <row r="9" spans="2:13" ht="15" customHeight="1" x14ac:dyDescent="0.2">
      <c r="B9" s="12">
        <v>148000</v>
      </c>
      <c r="J9" s="27" t="s">
        <v>94</v>
      </c>
      <c r="K9" s="77">
        <v>0.68</v>
      </c>
      <c r="L9" s="77">
        <v>0.95</v>
      </c>
      <c r="M9" s="78">
        <v>0.997</v>
      </c>
    </row>
    <row r="10" spans="2:13" ht="16" x14ac:dyDescent="0.2">
      <c r="B10" s="12">
        <v>255500</v>
      </c>
      <c r="J10" s="27" t="s">
        <v>95</v>
      </c>
      <c r="K10" s="79">
        <f>COUNTIFS($B$6:$B$58,"&gt;="&amp;K7,$B$6:$B$58,"&lt;="&amp;K8)/COUNT($B$6:$B$58)</f>
        <v>0.8867924528301887</v>
      </c>
      <c r="L10" s="79">
        <f t="shared" ref="L10:M10" si="0">COUNTIFS($B$6:$B$58,"&gt;="&amp;L7,$B$6:$B$58,"&lt;="&amp;L8)/COUNT($B$6:$B$58)</f>
        <v>0.96226415094339623</v>
      </c>
      <c r="M10" s="79">
        <f t="shared" si="0"/>
        <v>0.98113207547169812</v>
      </c>
    </row>
    <row r="11" spans="2:13" x14ac:dyDescent="0.2">
      <c r="B11" s="12">
        <v>103500</v>
      </c>
    </row>
    <row r="12" spans="2:13" x14ac:dyDescent="0.2">
      <c r="B12" s="12">
        <v>114500</v>
      </c>
    </row>
    <row r="13" spans="2:13" x14ac:dyDescent="0.2">
      <c r="B13" s="12">
        <v>124000</v>
      </c>
    </row>
    <row r="14" spans="2:13" x14ac:dyDescent="0.2">
      <c r="B14" s="12">
        <v>132500</v>
      </c>
    </row>
    <row r="15" spans="2:13" x14ac:dyDescent="0.2">
      <c r="B15" s="12">
        <v>99000</v>
      </c>
    </row>
    <row r="16" spans="2:13" x14ac:dyDescent="0.2">
      <c r="B16" s="12">
        <v>124000</v>
      </c>
    </row>
    <row r="17" spans="2:2" x14ac:dyDescent="0.2">
      <c r="B17" s="12">
        <v>82000</v>
      </c>
    </row>
    <row r="18" spans="2:2" x14ac:dyDescent="0.2">
      <c r="B18" s="12">
        <v>185000</v>
      </c>
    </row>
    <row r="19" spans="2:2" x14ac:dyDescent="0.2">
      <c r="B19" s="12">
        <v>89500</v>
      </c>
    </row>
    <row r="20" spans="2:2" x14ac:dyDescent="0.2">
      <c r="B20" s="12">
        <v>91500</v>
      </c>
    </row>
    <row r="21" spans="2:2" x14ac:dyDescent="0.2">
      <c r="B21" s="12">
        <v>113500</v>
      </c>
    </row>
    <row r="22" spans="2:2" x14ac:dyDescent="0.2">
      <c r="B22" s="12">
        <v>99000</v>
      </c>
    </row>
    <row r="23" spans="2:2" x14ac:dyDescent="0.2">
      <c r="B23" s="12">
        <v>75500</v>
      </c>
    </row>
    <row r="24" spans="2:2" x14ac:dyDescent="0.2">
      <c r="B24" s="12">
        <v>86000</v>
      </c>
    </row>
    <row r="25" spans="2:2" x14ac:dyDescent="0.2">
      <c r="B25" s="12">
        <v>156500</v>
      </c>
    </row>
    <row r="26" spans="2:2" x14ac:dyDescent="0.2">
      <c r="B26" s="12">
        <v>99500</v>
      </c>
    </row>
    <row r="27" spans="2:2" x14ac:dyDescent="0.2">
      <c r="B27" s="12">
        <v>148000</v>
      </c>
    </row>
    <row r="28" spans="2:2" x14ac:dyDescent="0.2">
      <c r="B28" s="12">
        <v>82000</v>
      </c>
    </row>
    <row r="29" spans="2:2" x14ac:dyDescent="0.2">
      <c r="B29" s="12">
        <v>103500</v>
      </c>
    </row>
    <row r="30" spans="2:2" x14ac:dyDescent="0.2">
      <c r="B30" s="12">
        <v>205500</v>
      </c>
    </row>
    <row r="31" spans="2:2" x14ac:dyDescent="0.2">
      <c r="B31" s="12">
        <v>103500</v>
      </c>
    </row>
    <row r="32" spans="2:2" x14ac:dyDescent="0.2">
      <c r="B32" s="12">
        <v>340000</v>
      </c>
    </row>
    <row r="33" spans="2:2" x14ac:dyDescent="0.2">
      <c r="B33" s="12">
        <v>103500</v>
      </c>
    </row>
    <row r="34" spans="2:2" x14ac:dyDescent="0.2">
      <c r="B34" s="12">
        <v>99500</v>
      </c>
    </row>
    <row r="35" spans="2:2" x14ac:dyDescent="0.2">
      <c r="B35" s="12">
        <v>103000</v>
      </c>
    </row>
    <row r="36" spans="2:2" x14ac:dyDescent="0.2">
      <c r="B36" s="12">
        <v>103500</v>
      </c>
    </row>
    <row r="37" spans="2:2" x14ac:dyDescent="0.2">
      <c r="B37" s="12">
        <v>165000</v>
      </c>
    </row>
    <row r="38" spans="2:2" x14ac:dyDescent="0.2">
      <c r="B38" s="12">
        <v>124500</v>
      </c>
    </row>
    <row r="39" spans="2:2" x14ac:dyDescent="0.2">
      <c r="B39" s="12">
        <v>103500</v>
      </c>
    </row>
    <row r="40" spans="2:2" x14ac:dyDescent="0.2">
      <c r="B40" s="12">
        <v>82500</v>
      </c>
    </row>
    <row r="41" spans="2:2" x14ac:dyDescent="0.2">
      <c r="B41" s="12">
        <v>93000</v>
      </c>
    </row>
    <row r="42" spans="2:2" x14ac:dyDescent="0.2">
      <c r="B42" s="12">
        <v>168000</v>
      </c>
    </row>
    <row r="43" spans="2:2" x14ac:dyDescent="0.2">
      <c r="B43" s="12">
        <v>96000</v>
      </c>
    </row>
    <row r="44" spans="2:2" x14ac:dyDescent="0.2">
      <c r="B44" s="12">
        <v>80000</v>
      </c>
    </row>
    <row r="45" spans="2:2" x14ac:dyDescent="0.2">
      <c r="B45" s="12">
        <v>124500</v>
      </c>
    </row>
    <row r="46" spans="2:2" x14ac:dyDescent="0.2">
      <c r="B46" s="12">
        <v>99000</v>
      </c>
    </row>
    <row r="47" spans="2:2" x14ac:dyDescent="0.2">
      <c r="B47" s="12">
        <v>124000</v>
      </c>
    </row>
    <row r="48" spans="2:2" x14ac:dyDescent="0.2">
      <c r="B48" s="12">
        <v>91500</v>
      </c>
    </row>
    <row r="49" spans="2:2" x14ac:dyDescent="0.2">
      <c r="B49" s="12">
        <v>144500</v>
      </c>
    </row>
    <row r="50" spans="2:2" x14ac:dyDescent="0.2">
      <c r="B50" s="12">
        <v>114500</v>
      </c>
    </row>
    <row r="51" spans="2:2" x14ac:dyDescent="0.2">
      <c r="B51" s="12">
        <v>104500</v>
      </c>
    </row>
    <row r="52" spans="2:2" x14ac:dyDescent="0.2">
      <c r="B52" s="12">
        <v>124000</v>
      </c>
    </row>
    <row r="53" spans="2:2" x14ac:dyDescent="0.2">
      <c r="B53" s="12">
        <v>113000</v>
      </c>
    </row>
    <row r="54" spans="2:2" x14ac:dyDescent="0.2">
      <c r="B54" s="12">
        <v>78000</v>
      </c>
    </row>
    <row r="55" spans="2:2" x14ac:dyDescent="0.2">
      <c r="B55" s="12">
        <v>109000</v>
      </c>
    </row>
    <row r="56" spans="2:2" x14ac:dyDescent="0.2">
      <c r="B56" s="12">
        <v>99500</v>
      </c>
    </row>
    <row r="57" spans="2:2" x14ac:dyDescent="0.2">
      <c r="B57" s="12">
        <v>107000</v>
      </c>
    </row>
    <row r="58" spans="2:2" x14ac:dyDescent="0.2">
      <c r="B58" s="12">
        <v>84000</v>
      </c>
    </row>
  </sheetData>
  <mergeCells count="3">
    <mergeCell ref="D5:E5"/>
    <mergeCell ref="G5:H5"/>
    <mergeCell ref="J5:M5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D64EF-C1B4-49BA-BC39-462390A4CA11}">
  <sheetPr codeName="Sheet20">
    <tabColor theme="5" tint="0.79998168889431442"/>
  </sheetPr>
  <dimension ref="A1:H100"/>
  <sheetViews>
    <sheetView showGridLines="0" workbookViewId="0">
      <selection activeCell="H7" sqref="H7"/>
    </sheetView>
  </sheetViews>
  <sheetFormatPr baseColWidth="10" defaultColWidth="8.83203125" defaultRowHeight="15" x14ac:dyDescent="0.2"/>
  <cols>
    <col min="1" max="1" width="2.83203125" customWidth="1"/>
    <col min="2" max="2" width="10.6640625" bestFit="1" customWidth="1"/>
    <col min="4" max="5" width="11.5" customWidth="1"/>
    <col min="7" max="7" width="20" customWidth="1"/>
  </cols>
  <sheetData>
    <row r="1" spans="1:8" ht="25.5" customHeight="1" x14ac:dyDescent="0.25">
      <c r="B1" s="18" t="s">
        <v>131</v>
      </c>
    </row>
    <row r="2" spans="1:8" ht="15" customHeight="1" x14ac:dyDescent="0.2">
      <c r="A2" t="s">
        <v>130</v>
      </c>
      <c r="B2" s="30" t="s">
        <v>296</v>
      </c>
    </row>
    <row r="3" spans="1:8" ht="18" customHeight="1" x14ac:dyDescent="0.2"/>
    <row r="4" spans="1:8" x14ac:dyDescent="0.2">
      <c r="D4" s="3" t="s">
        <v>54</v>
      </c>
      <c r="G4" s="3" t="s">
        <v>54</v>
      </c>
    </row>
    <row r="5" spans="1:8" x14ac:dyDescent="0.2">
      <c r="B5" s="7" t="s">
        <v>77</v>
      </c>
      <c r="D5" s="115" t="s">
        <v>86</v>
      </c>
      <c r="E5" s="115"/>
      <c r="G5" s="115" t="s">
        <v>294</v>
      </c>
      <c r="H5" s="115"/>
    </row>
    <row r="6" spans="1:8" x14ac:dyDescent="0.2">
      <c r="B6" s="8">
        <v>90.2</v>
      </c>
      <c r="D6" s="20" t="s">
        <v>46</v>
      </c>
      <c r="E6" s="75">
        <f>AVERAGE(B6:B100)</f>
        <v>80.169473684210516</v>
      </c>
      <c r="G6" s="20" t="s">
        <v>103</v>
      </c>
      <c r="H6" s="71">
        <v>70</v>
      </c>
    </row>
    <row r="7" spans="1:8" x14ac:dyDescent="0.2">
      <c r="B7" s="8">
        <v>92.8</v>
      </c>
      <c r="D7" s="20" t="s">
        <v>70</v>
      </c>
      <c r="E7" s="75">
        <f>_xlfn.STDEV.S(B6:B100)</f>
        <v>6.1707800411122609</v>
      </c>
      <c r="G7" s="20" t="s">
        <v>293</v>
      </c>
      <c r="H7" s="81">
        <f>_xlfn.NORM.DIST(H6,E6,E7,TRUE)</f>
        <v>4.9675867098228202E-2</v>
      </c>
    </row>
    <row r="8" spans="1:8" x14ac:dyDescent="0.2">
      <c r="B8" s="8">
        <v>68.7</v>
      </c>
    </row>
    <row r="9" spans="1:8" x14ac:dyDescent="0.2">
      <c r="B9" s="8">
        <v>80.7</v>
      </c>
      <c r="D9" s="20"/>
      <c r="E9" s="29"/>
    </row>
    <row r="10" spans="1:8" x14ac:dyDescent="0.2">
      <c r="B10" s="8">
        <v>74.900000000000006</v>
      </c>
      <c r="D10" s="20"/>
      <c r="E10" s="29"/>
    </row>
    <row r="11" spans="1:8" x14ac:dyDescent="0.2">
      <c r="B11" s="8">
        <v>80.7</v>
      </c>
    </row>
    <row r="12" spans="1:8" x14ac:dyDescent="0.2">
      <c r="B12" s="8">
        <v>83.3</v>
      </c>
    </row>
    <row r="13" spans="1:8" x14ac:dyDescent="0.2">
      <c r="B13" s="8">
        <v>88.7</v>
      </c>
    </row>
    <row r="14" spans="1:8" x14ac:dyDescent="0.2">
      <c r="B14" s="8">
        <v>75.400000000000006</v>
      </c>
    </row>
    <row r="15" spans="1:8" x14ac:dyDescent="0.2">
      <c r="B15" s="8">
        <v>82.1</v>
      </c>
    </row>
    <row r="16" spans="1:8" x14ac:dyDescent="0.2">
      <c r="B16" s="8">
        <v>87.5</v>
      </c>
    </row>
    <row r="17" spans="2:2" x14ac:dyDescent="0.2">
      <c r="B17" s="8">
        <v>66.900000000000006</v>
      </c>
    </row>
    <row r="18" spans="2:2" x14ac:dyDescent="0.2">
      <c r="B18" s="8">
        <v>71.3</v>
      </c>
    </row>
    <row r="19" spans="2:2" x14ac:dyDescent="0.2">
      <c r="B19" s="8">
        <v>76.8</v>
      </c>
    </row>
    <row r="20" spans="2:2" x14ac:dyDescent="0.2">
      <c r="B20" s="8">
        <v>72.3</v>
      </c>
    </row>
    <row r="21" spans="2:2" x14ac:dyDescent="0.2">
      <c r="B21" s="8">
        <v>72.400000000000006</v>
      </c>
    </row>
    <row r="22" spans="2:2" x14ac:dyDescent="0.2">
      <c r="B22" s="8">
        <v>72</v>
      </c>
    </row>
    <row r="23" spans="2:2" x14ac:dyDescent="0.2">
      <c r="B23" s="8">
        <v>81</v>
      </c>
    </row>
    <row r="24" spans="2:2" x14ac:dyDescent="0.2">
      <c r="B24" s="8">
        <v>96.1</v>
      </c>
    </row>
    <row r="25" spans="2:2" x14ac:dyDescent="0.2">
      <c r="B25" s="8">
        <v>76.7</v>
      </c>
    </row>
    <row r="26" spans="2:2" x14ac:dyDescent="0.2">
      <c r="B26" s="8">
        <v>80.3</v>
      </c>
    </row>
    <row r="27" spans="2:2" x14ac:dyDescent="0.2">
      <c r="B27" s="8">
        <v>77.8</v>
      </c>
    </row>
    <row r="28" spans="2:2" x14ac:dyDescent="0.2">
      <c r="B28" s="8">
        <v>62.6</v>
      </c>
    </row>
    <row r="29" spans="2:2" x14ac:dyDescent="0.2">
      <c r="B29" s="8">
        <v>80.2</v>
      </c>
    </row>
    <row r="30" spans="2:2" x14ac:dyDescent="0.2">
      <c r="B30" s="8">
        <v>79.099999999999994</v>
      </c>
    </row>
    <row r="31" spans="2:2" x14ac:dyDescent="0.2">
      <c r="B31" s="8">
        <v>77.8</v>
      </c>
    </row>
    <row r="32" spans="2:2" x14ac:dyDescent="0.2">
      <c r="B32" s="8">
        <v>75.099999999999994</v>
      </c>
    </row>
    <row r="33" spans="2:2" x14ac:dyDescent="0.2">
      <c r="B33" s="8">
        <v>82.2</v>
      </c>
    </row>
    <row r="34" spans="2:2" x14ac:dyDescent="0.2">
      <c r="B34" s="8">
        <v>70.5</v>
      </c>
    </row>
    <row r="35" spans="2:2" x14ac:dyDescent="0.2">
      <c r="B35" s="8">
        <v>70.8</v>
      </c>
    </row>
    <row r="36" spans="2:2" x14ac:dyDescent="0.2">
      <c r="B36" s="8">
        <v>87.5</v>
      </c>
    </row>
    <row r="37" spans="2:2" x14ac:dyDescent="0.2">
      <c r="B37" s="8">
        <v>79.5</v>
      </c>
    </row>
    <row r="38" spans="2:2" x14ac:dyDescent="0.2">
      <c r="B38" s="8">
        <v>80.8</v>
      </c>
    </row>
    <row r="39" spans="2:2" x14ac:dyDescent="0.2">
      <c r="B39" s="8">
        <v>79.599999999999994</v>
      </c>
    </row>
    <row r="40" spans="2:2" x14ac:dyDescent="0.2">
      <c r="B40" s="8">
        <v>88.9</v>
      </c>
    </row>
    <row r="41" spans="2:2" x14ac:dyDescent="0.2">
      <c r="B41" s="8">
        <v>85.9</v>
      </c>
    </row>
    <row r="42" spans="2:2" x14ac:dyDescent="0.2">
      <c r="B42" s="8">
        <v>82.3</v>
      </c>
    </row>
    <row r="43" spans="2:2" x14ac:dyDescent="0.2">
      <c r="B43" s="8">
        <v>76.7</v>
      </c>
    </row>
    <row r="44" spans="2:2" x14ac:dyDescent="0.2">
      <c r="B44" s="8">
        <v>79.900000000000006</v>
      </c>
    </row>
    <row r="45" spans="2:2" x14ac:dyDescent="0.2">
      <c r="B45" s="8">
        <v>86.2</v>
      </c>
    </row>
    <row r="46" spans="2:2" x14ac:dyDescent="0.2">
      <c r="B46" s="8">
        <v>79.2</v>
      </c>
    </row>
    <row r="47" spans="2:2" x14ac:dyDescent="0.2">
      <c r="B47" s="8">
        <v>83.4</v>
      </c>
    </row>
    <row r="48" spans="2:2" x14ac:dyDescent="0.2">
      <c r="B48" s="8">
        <v>85.2</v>
      </c>
    </row>
    <row r="49" spans="2:2" x14ac:dyDescent="0.2">
      <c r="B49" s="8">
        <v>77.8</v>
      </c>
    </row>
    <row r="50" spans="2:2" x14ac:dyDescent="0.2">
      <c r="B50" s="8">
        <v>80.2</v>
      </c>
    </row>
    <row r="51" spans="2:2" x14ac:dyDescent="0.2">
      <c r="B51" s="8">
        <v>71</v>
      </c>
    </row>
    <row r="52" spans="2:2" x14ac:dyDescent="0.2">
      <c r="B52" s="8">
        <v>87.2</v>
      </c>
    </row>
    <row r="53" spans="2:2" x14ac:dyDescent="0.2">
      <c r="B53" s="8">
        <v>82.9</v>
      </c>
    </row>
    <row r="54" spans="2:2" x14ac:dyDescent="0.2">
      <c r="B54" s="8">
        <v>73.5</v>
      </c>
    </row>
    <row r="55" spans="2:2" x14ac:dyDescent="0.2">
      <c r="B55" s="8">
        <v>74.599999999999994</v>
      </c>
    </row>
    <row r="56" spans="2:2" x14ac:dyDescent="0.2">
      <c r="B56" s="8">
        <v>75.099999999999994</v>
      </c>
    </row>
    <row r="57" spans="2:2" x14ac:dyDescent="0.2">
      <c r="B57" s="8">
        <v>85.1</v>
      </c>
    </row>
    <row r="58" spans="2:2" x14ac:dyDescent="0.2">
      <c r="B58" s="8">
        <v>74.900000000000006</v>
      </c>
    </row>
    <row r="59" spans="2:2" x14ac:dyDescent="0.2">
      <c r="B59" s="8">
        <v>84.6</v>
      </c>
    </row>
    <row r="60" spans="2:2" x14ac:dyDescent="0.2">
      <c r="B60" s="8">
        <v>81.7</v>
      </c>
    </row>
    <row r="61" spans="2:2" x14ac:dyDescent="0.2">
      <c r="B61" s="8">
        <v>81.400000000000006</v>
      </c>
    </row>
    <row r="62" spans="2:2" x14ac:dyDescent="0.2">
      <c r="B62" s="8">
        <v>83.8</v>
      </c>
    </row>
    <row r="63" spans="2:2" x14ac:dyDescent="0.2">
      <c r="B63" s="8">
        <v>88.5</v>
      </c>
    </row>
    <row r="64" spans="2:2" x14ac:dyDescent="0.2">
      <c r="B64" s="8">
        <v>84.9</v>
      </c>
    </row>
    <row r="65" spans="2:2" x14ac:dyDescent="0.2">
      <c r="B65" s="8">
        <v>84.3</v>
      </c>
    </row>
    <row r="66" spans="2:2" x14ac:dyDescent="0.2">
      <c r="B66" s="8">
        <v>78.2</v>
      </c>
    </row>
    <row r="67" spans="2:2" x14ac:dyDescent="0.2">
      <c r="B67" s="8">
        <v>80</v>
      </c>
    </row>
    <row r="68" spans="2:2" x14ac:dyDescent="0.2">
      <c r="B68" s="8">
        <v>74.8</v>
      </c>
    </row>
    <row r="69" spans="2:2" x14ac:dyDescent="0.2">
      <c r="B69" s="8">
        <v>78.5</v>
      </c>
    </row>
    <row r="70" spans="2:2" x14ac:dyDescent="0.2">
      <c r="B70" s="8">
        <v>71.8</v>
      </c>
    </row>
    <row r="71" spans="2:2" x14ac:dyDescent="0.2">
      <c r="B71" s="8">
        <v>69.900000000000006</v>
      </c>
    </row>
    <row r="72" spans="2:2" x14ac:dyDescent="0.2">
      <c r="B72" s="8">
        <v>82.7</v>
      </c>
    </row>
    <row r="73" spans="2:2" x14ac:dyDescent="0.2">
      <c r="B73" s="8">
        <v>74</v>
      </c>
    </row>
    <row r="74" spans="2:2" x14ac:dyDescent="0.2">
      <c r="B74" s="8">
        <v>84</v>
      </c>
    </row>
    <row r="75" spans="2:2" x14ac:dyDescent="0.2">
      <c r="B75" s="8">
        <v>84.7</v>
      </c>
    </row>
    <row r="76" spans="2:2" x14ac:dyDescent="0.2">
      <c r="B76" s="8">
        <v>78.2</v>
      </c>
    </row>
    <row r="77" spans="2:2" x14ac:dyDescent="0.2">
      <c r="B77" s="8">
        <v>85</v>
      </c>
    </row>
    <row r="78" spans="2:2" x14ac:dyDescent="0.2">
      <c r="B78" s="8">
        <v>80.099999999999994</v>
      </c>
    </row>
    <row r="79" spans="2:2" x14ac:dyDescent="0.2">
      <c r="B79" s="8">
        <v>85.3</v>
      </c>
    </row>
    <row r="80" spans="2:2" x14ac:dyDescent="0.2">
      <c r="B80" s="8">
        <v>79.7</v>
      </c>
    </row>
    <row r="81" spans="2:2" x14ac:dyDescent="0.2">
      <c r="B81" s="8">
        <v>79.599999999999994</v>
      </c>
    </row>
    <row r="82" spans="2:2" x14ac:dyDescent="0.2">
      <c r="B82" s="8">
        <v>78.900000000000006</v>
      </c>
    </row>
    <row r="83" spans="2:2" x14ac:dyDescent="0.2">
      <c r="B83" s="8">
        <v>78.5</v>
      </c>
    </row>
    <row r="84" spans="2:2" x14ac:dyDescent="0.2">
      <c r="B84" s="8">
        <v>72</v>
      </c>
    </row>
    <row r="85" spans="2:2" x14ac:dyDescent="0.2">
      <c r="B85" s="8">
        <v>74.2</v>
      </c>
    </row>
    <row r="86" spans="2:2" x14ac:dyDescent="0.2">
      <c r="B86" s="8">
        <v>71.7</v>
      </c>
    </row>
    <row r="87" spans="2:2" x14ac:dyDescent="0.2">
      <c r="B87" s="8">
        <v>80.7</v>
      </c>
    </row>
    <row r="88" spans="2:2" x14ac:dyDescent="0.2">
      <c r="B88" s="8">
        <v>84.1</v>
      </c>
    </row>
    <row r="89" spans="2:2" x14ac:dyDescent="0.2">
      <c r="B89" s="8">
        <v>87.4</v>
      </c>
    </row>
    <row r="90" spans="2:2" x14ac:dyDescent="0.2">
      <c r="B90" s="8">
        <v>77.400000000000006</v>
      </c>
    </row>
    <row r="91" spans="2:2" x14ac:dyDescent="0.2">
      <c r="B91" s="8">
        <v>84.7</v>
      </c>
    </row>
    <row r="92" spans="2:2" x14ac:dyDescent="0.2">
      <c r="B92" s="8">
        <v>78.8</v>
      </c>
    </row>
    <row r="93" spans="2:2" x14ac:dyDescent="0.2">
      <c r="B93" s="8">
        <v>92.7</v>
      </c>
    </row>
    <row r="94" spans="2:2" x14ac:dyDescent="0.2">
      <c r="B94" s="8">
        <v>88.8</v>
      </c>
    </row>
    <row r="95" spans="2:2" x14ac:dyDescent="0.2">
      <c r="B95" s="8">
        <v>86.6</v>
      </c>
    </row>
    <row r="96" spans="2:2" x14ac:dyDescent="0.2">
      <c r="B96" s="8">
        <v>77.900000000000006</v>
      </c>
    </row>
    <row r="97" spans="2:2" x14ac:dyDescent="0.2">
      <c r="B97" s="8">
        <v>86.1</v>
      </c>
    </row>
    <row r="98" spans="2:2" x14ac:dyDescent="0.2">
      <c r="B98" s="8">
        <v>89.9</v>
      </c>
    </row>
    <row r="99" spans="2:2" x14ac:dyDescent="0.2">
      <c r="B99" s="8">
        <v>83.1</v>
      </c>
    </row>
    <row r="100" spans="2:2" x14ac:dyDescent="0.2">
      <c r="B100" s="8">
        <v>82.6</v>
      </c>
    </row>
  </sheetData>
  <mergeCells count="2">
    <mergeCell ref="D5:E5"/>
    <mergeCell ref="G5:H5"/>
  </mergeCells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2C529-81A8-41DB-B6CC-BD7B3F2D3D72}">
  <sheetPr codeName="Sheet21">
    <tabColor theme="5" tint="0.79998168889431442"/>
  </sheetPr>
  <dimension ref="B1:E100"/>
  <sheetViews>
    <sheetView showGridLines="0" workbookViewId="0">
      <selection activeCell="E7" sqref="E7"/>
    </sheetView>
  </sheetViews>
  <sheetFormatPr baseColWidth="10" defaultColWidth="8.83203125" defaultRowHeight="15" x14ac:dyDescent="0.2"/>
  <cols>
    <col min="1" max="1" width="2.83203125" customWidth="1"/>
    <col min="2" max="2" width="10.6640625" bestFit="1" customWidth="1"/>
    <col min="4" max="4" width="17.1640625" customWidth="1"/>
    <col min="5" max="5" width="9.1640625" customWidth="1"/>
  </cols>
  <sheetData>
    <row r="1" spans="2:5" ht="25.5" customHeight="1" x14ac:dyDescent="0.25">
      <c r="B1" s="18" t="s">
        <v>297</v>
      </c>
    </row>
    <row r="2" spans="2:5" ht="15" customHeight="1" x14ac:dyDescent="0.2">
      <c r="B2" s="30" t="s">
        <v>295</v>
      </c>
    </row>
    <row r="3" spans="2:5" ht="18" customHeight="1" x14ac:dyDescent="0.2"/>
    <row r="4" spans="2:5" x14ac:dyDescent="0.2">
      <c r="D4" s="3" t="s">
        <v>54</v>
      </c>
    </row>
    <row r="5" spans="2:5" x14ac:dyDescent="0.2">
      <c r="B5" s="7" t="s">
        <v>77</v>
      </c>
      <c r="D5" s="115" t="s">
        <v>294</v>
      </c>
      <c r="E5" s="115"/>
    </row>
    <row r="6" spans="2:5" x14ac:dyDescent="0.2">
      <c r="B6" s="8">
        <v>90.2</v>
      </c>
      <c r="D6" s="20" t="s">
        <v>107</v>
      </c>
      <c r="E6" s="71">
        <v>-1</v>
      </c>
    </row>
    <row r="7" spans="2:5" x14ac:dyDescent="0.2">
      <c r="B7" s="8">
        <v>92.8</v>
      </c>
      <c r="D7" s="20" t="s">
        <v>108</v>
      </c>
      <c r="E7" s="71">
        <v>1</v>
      </c>
    </row>
    <row r="8" spans="2:5" x14ac:dyDescent="0.2">
      <c r="B8" s="8">
        <v>68.7</v>
      </c>
      <c r="D8" s="20" t="s">
        <v>132</v>
      </c>
      <c r="E8" s="81">
        <f>_xlfn.NORM.S.DIST(E7,TRUE)-_xlfn.NORM.S.DIST(E6,TRUE)</f>
        <v>0.68268949213708607</v>
      </c>
    </row>
    <row r="9" spans="2:5" x14ac:dyDescent="0.2">
      <c r="B9" s="8">
        <v>80.7</v>
      </c>
      <c r="D9" s="20"/>
      <c r="E9" s="29"/>
    </row>
    <row r="10" spans="2:5" x14ac:dyDescent="0.2">
      <c r="B10" s="8">
        <v>74.900000000000006</v>
      </c>
    </row>
    <row r="11" spans="2:5" x14ac:dyDescent="0.2">
      <c r="B11" s="8">
        <v>80.7</v>
      </c>
    </row>
    <row r="12" spans="2:5" x14ac:dyDescent="0.2">
      <c r="B12" s="8">
        <v>83.3</v>
      </c>
    </row>
    <row r="13" spans="2:5" x14ac:dyDescent="0.2">
      <c r="B13" s="8">
        <v>88.7</v>
      </c>
    </row>
    <row r="14" spans="2:5" x14ac:dyDescent="0.2">
      <c r="B14" s="8">
        <v>75.400000000000006</v>
      </c>
    </row>
    <row r="15" spans="2:5" x14ac:dyDescent="0.2">
      <c r="B15" s="8">
        <v>82.1</v>
      </c>
    </row>
    <row r="16" spans="2:5" x14ac:dyDescent="0.2">
      <c r="B16" s="8">
        <v>87.5</v>
      </c>
    </row>
    <row r="17" spans="2:2" x14ac:dyDescent="0.2">
      <c r="B17" s="8">
        <v>66.900000000000006</v>
      </c>
    </row>
    <row r="18" spans="2:2" x14ac:dyDescent="0.2">
      <c r="B18" s="8">
        <v>71.3</v>
      </c>
    </row>
    <row r="19" spans="2:2" x14ac:dyDescent="0.2">
      <c r="B19" s="8">
        <v>76.8</v>
      </c>
    </row>
    <row r="20" spans="2:2" x14ac:dyDescent="0.2">
      <c r="B20" s="8">
        <v>72.3</v>
      </c>
    </row>
    <row r="21" spans="2:2" x14ac:dyDescent="0.2">
      <c r="B21" s="8">
        <v>72.400000000000006</v>
      </c>
    </row>
    <row r="22" spans="2:2" x14ac:dyDescent="0.2">
      <c r="B22" s="8">
        <v>72</v>
      </c>
    </row>
    <row r="23" spans="2:2" x14ac:dyDescent="0.2">
      <c r="B23" s="8">
        <v>81</v>
      </c>
    </row>
    <row r="24" spans="2:2" x14ac:dyDescent="0.2">
      <c r="B24" s="8">
        <v>96.1</v>
      </c>
    </row>
    <row r="25" spans="2:2" x14ac:dyDescent="0.2">
      <c r="B25" s="8">
        <v>76.7</v>
      </c>
    </row>
    <row r="26" spans="2:2" x14ac:dyDescent="0.2">
      <c r="B26" s="8">
        <v>80.3</v>
      </c>
    </row>
    <row r="27" spans="2:2" x14ac:dyDescent="0.2">
      <c r="B27" s="8">
        <v>77.8</v>
      </c>
    </row>
    <row r="28" spans="2:2" x14ac:dyDescent="0.2">
      <c r="B28" s="8">
        <v>62.6</v>
      </c>
    </row>
    <row r="29" spans="2:2" x14ac:dyDescent="0.2">
      <c r="B29" s="8">
        <v>80.2</v>
      </c>
    </row>
    <row r="30" spans="2:2" x14ac:dyDescent="0.2">
      <c r="B30" s="8">
        <v>79.099999999999994</v>
      </c>
    </row>
    <row r="31" spans="2:2" x14ac:dyDescent="0.2">
      <c r="B31" s="8">
        <v>77.8</v>
      </c>
    </row>
    <row r="32" spans="2:2" x14ac:dyDescent="0.2">
      <c r="B32" s="8">
        <v>75.099999999999994</v>
      </c>
    </row>
    <row r="33" spans="2:2" x14ac:dyDescent="0.2">
      <c r="B33" s="8">
        <v>82.2</v>
      </c>
    </row>
    <row r="34" spans="2:2" x14ac:dyDescent="0.2">
      <c r="B34" s="8">
        <v>70.5</v>
      </c>
    </row>
    <row r="35" spans="2:2" x14ac:dyDescent="0.2">
      <c r="B35" s="8">
        <v>70.8</v>
      </c>
    </row>
    <row r="36" spans="2:2" x14ac:dyDescent="0.2">
      <c r="B36" s="8">
        <v>87.5</v>
      </c>
    </row>
    <row r="37" spans="2:2" x14ac:dyDescent="0.2">
      <c r="B37" s="8">
        <v>79.5</v>
      </c>
    </row>
    <row r="38" spans="2:2" x14ac:dyDescent="0.2">
      <c r="B38" s="8">
        <v>80.8</v>
      </c>
    </row>
    <row r="39" spans="2:2" x14ac:dyDescent="0.2">
      <c r="B39" s="8">
        <v>79.599999999999994</v>
      </c>
    </row>
    <row r="40" spans="2:2" x14ac:dyDescent="0.2">
      <c r="B40" s="8">
        <v>88.9</v>
      </c>
    </row>
    <row r="41" spans="2:2" x14ac:dyDescent="0.2">
      <c r="B41" s="8">
        <v>85.9</v>
      </c>
    </row>
    <row r="42" spans="2:2" x14ac:dyDescent="0.2">
      <c r="B42" s="8">
        <v>82.3</v>
      </c>
    </row>
    <row r="43" spans="2:2" x14ac:dyDescent="0.2">
      <c r="B43" s="8">
        <v>76.7</v>
      </c>
    </row>
    <row r="44" spans="2:2" x14ac:dyDescent="0.2">
      <c r="B44" s="8">
        <v>79.900000000000006</v>
      </c>
    </row>
    <row r="45" spans="2:2" x14ac:dyDescent="0.2">
      <c r="B45" s="8">
        <v>86.2</v>
      </c>
    </row>
    <row r="46" spans="2:2" x14ac:dyDescent="0.2">
      <c r="B46" s="8">
        <v>79.2</v>
      </c>
    </row>
    <row r="47" spans="2:2" x14ac:dyDescent="0.2">
      <c r="B47" s="8">
        <v>83.4</v>
      </c>
    </row>
    <row r="48" spans="2:2" x14ac:dyDescent="0.2">
      <c r="B48" s="8">
        <v>85.2</v>
      </c>
    </row>
    <row r="49" spans="2:2" x14ac:dyDescent="0.2">
      <c r="B49" s="8">
        <v>77.8</v>
      </c>
    </row>
    <row r="50" spans="2:2" x14ac:dyDescent="0.2">
      <c r="B50" s="8">
        <v>80.2</v>
      </c>
    </row>
    <row r="51" spans="2:2" x14ac:dyDescent="0.2">
      <c r="B51" s="8">
        <v>71</v>
      </c>
    </row>
    <row r="52" spans="2:2" x14ac:dyDescent="0.2">
      <c r="B52" s="8">
        <v>87.2</v>
      </c>
    </row>
    <row r="53" spans="2:2" x14ac:dyDescent="0.2">
      <c r="B53" s="8">
        <v>82.9</v>
      </c>
    </row>
    <row r="54" spans="2:2" x14ac:dyDescent="0.2">
      <c r="B54" s="8">
        <v>73.5</v>
      </c>
    </row>
    <row r="55" spans="2:2" x14ac:dyDescent="0.2">
      <c r="B55" s="8">
        <v>74.599999999999994</v>
      </c>
    </row>
    <row r="56" spans="2:2" x14ac:dyDescent="0.2">
      <c r="B56" s="8">
        <v>75.099999999999994</v>
      </c>
    </row>
    <row r="57" spans="2:2" x14ac:dyDescent="0.2">
      <c r="B57" s="8">
        <v>85.1</v>
      </c>
    </row>
    <row r="58" spans="2:2" x14ac:dyDescent="0.2">
      <c r="B58" s="8">
        <v>74.900000000000006</v>
      </c>
    </row>
    <row r="59" spans="2:2" x14ac:dyDescent="0.2">
      <c r="B59" s="8">
        <v>84.6</v>
      </c>
    </row>
    <row r="60" spans="2:2" x14ac:dyDescent="0.2">
      <c r="B60" s="8">
        <v>81.7</v>
      </c>
    </row>
    <row r="61" spans="2:2" x14ac:dyDescent="0.2">
      <c r="B61" s="8">
        <v>81.400000000000006</v>
      </c>
    </row>
    <row r="62" spans="2:2" x14ac:dyDescent="0.2">
      <c r="B62" s="8">
        <v>83.8</v>
      </c>
    </row>
    <row r="63" spans="2:2" x14ac:dyDescent="0.2">
      <c r="B63" s="8">
        <v>88.5</v>
      </c>
    </row>
    <row r="64" spans="2:2" x14ac:dyDescent="0.2">
      <c r="B64" s="8">
        <v>84.9</v>
      </c>
    </row>
    <row r="65" spans="2:2" x14ac:dyDescent="0.2">
      <c r="B65" s="8">
        <v>84.3</v>
      </c>
    </row>
    <row r="66" spans="2:2" x14ac:dyDescent="0.2">
      <c r="B66" s="8">
        <v>78.2</v>
      </c>
    </row>
    <row r="67" spans="2:2" x14ac:dyDescent="0.2">
      <c r="B67" s="8">
        <v>80</v>
      </c>
    </row>
    <row r="68" spans="2:2" x14ac:dyDescent="0.2">
      <c r="B68" s="8">
        <v>74.8</v>
      </c>
    </row>
    <row r="69" spans="2:2" x14ac:dyDescent="0.2">
      <c r="B69" s="8">
        <v>78.5</v>
      </c>
    </row>
    <row r="70" spans="2:2" x14ac:dyDescent="0.2">
      <c r="B70" s="8">
        <v>71.8</v>
      </c>
    </row>
    <row r="71" spans="2:2" x14ac:dyDescent="0.2">
      <c r="B71" s="8">
        <v>69.900000000000006</v>
      </c>
    </row>
    <row r="72" spans="2:2" x14ac:dyDescent="0.2">
      <c r="B72" s="8">
        <v>82.7</v>
      </c>
    </row>
    <row r="73" spans="2:2" x14ac:dyDescent="0.2">
      <c r="B73" s="8">
        <v>74</v>
      </c>
    </row>
    <row r="74" spans="2:2" x14ac:dyDescent="0.2">
      <c r="B74" s="8">
        <v>84</v>
      </c>
    </row>
    <row r="75" spans="2:2" x14ac:dyDescent="0.2">
      <c r="B75" s="8">
        <v>84.7</v>
      </c>
    </row>
    <row r="76" spans="2:2" x14ac:dyDescent="0.2">
      <c r="B76" s="8">
        <v>78.2</v>
      </c>
    </row>
    <row r="77" spans="2:2" x14ac:dyDescent="0.2">
      <c r="B77" s="8">
        <v>85</v>
      </c>
    </row>
    <row r="78" spans="2:2" x14ac:dyDescent="0.2">
      <c r="B78" s="8">
        <v>80.099999999999994</v>
      </c>
    </row>
    <row r="79" spans="2:2" x14ac:dyDescent="0.2">
      <c r="B79" s="8">
        <v>85.3</v>
      </c>
    </row>
    <row r="80" spans="2:2" x14ac:dyDescent="0.2">
      <c r="B80" s="8">
        <v>79.7</v>
      </c>
    </row>
    <row r="81" spans="2:2" x14ac:dyDescent="0.2">
      <c r="B81" s="8">
        <v>79.599999999999994</v>
      </c>
    </row>
    <row r="82" spans="2:2" x14ac:dyDescent="0.2">
      <c r="B82" s="8">
        <v>78.900000000000006</v>
      </c>
    </row>
    <row r="83" spans="2:2" x14ac:dyDescent="0.2">
      <c r="B83" s="8">
        <v>78.5</v>
      </c>
    </row>
    <row r="84" spans="2:2" x14ac:dyDescent="0.2">
      <c r="B84" s="8">
        <v>72</v>
      </c>
    </row>
    <row r="85" spans="2:2" x14ac:dyDescent="0.2">
      <c r="B85" s="8">
        <v>74.2</v>
      </c>
    </row>
    <row r="86" spans="2:2" x14ac:dyDescent="0.2">
      <c r="B86" s="8">
        <v>71.7</v>
      </c>
    </row>
    <row r="87" spans="2:2" x14ac:dyDescent="0.2">
      <c r="B87" s="8">
        <v>80.7</v>
      </c>
    </row>
    <row r="88" spans="2:2" x14ac:dyDescent="0.2">
      <c r="B88" s="8">
        <v>84.1</v>
      </c>
    </row>
    <row r="89" spans="2:2" x14ac:dyDescent="0.2">
      <c r="B89" s="8">
        <v>87.4</v>
      </c>
    </row>
    <row r="90" spans="2:2" x14ac:dyDescent="0.2">
      <c r="B90" s="8">
        <v>77.400000000000006</v>
      </c>
    </row>
    <row r="91" spans="2:2" x14ac:dyDescent="0.2">
      <c r="B91" s="8">
        <v>84.7</v>
      </c>
    </row>
    <row r="92" spans="2:2" x14ac:dyDescent="0.2">
      <c r="B92" s="8">
        <v>78.8</v>
      </c>
    </row>
    <row r="93" spans="2:2" x14ac:dyDescent="0.2">
      <c r="B93" s="8">
        <v>92.7</v>
      </c>
    </row>
    <row r="94" spans="2:2" x14ac:dyDescent="0.2">
      <c r="B94" s="8">
        <v>88.8</v>
      </c>
    </row>
    <row r="95" spans="2:2" x14ac:dyDescent="0.2">
      <c r="B95" s="8">
        <v>86.6</v>
      </c>
    </row>
    <row r="96" spans="2:2" x14ac:dyDescent="0.2">
      <c r="B96" s="8">
        <v>77.900000000000006</v>
      </c>
    </row>
    <row r="97" spans="2:2" x14ac:dyDescent="0.2">
      <c r="B97" s="8">
        <v>86.1</v>
      </c>
    </row>
    <row r="98" spans="2:2" x14ac:dyDescent="0.2">
      <c r="B98" s="8">
        <v>89.9</v>
      </c>
    </row>
    <row r="99" spans="2:2" x14ac:dyDescent="0.2">
      <c r="B99" s="8">
        <v>83.1</v>
      </c>
    </row>
    <row r="100" spans="2:2" x14ac:dyDescent="0.2">
      <c r="B100" s="8">
        <v>82.6</v>
      </c>
    </row>
  </sheetData>
  <mergeCells count="1">
    <mergeCell ref="D5:E5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DF50B-7E44-4350-986F-24B765A87B1A}">
  <sheetPr codeName="Sheet22">
    <tabColor theme="5" tint="0.59999389629810485"/>
  </sheetPr>
  <dimension ref="B1:H100"/>
  <sheetViews>
    <sheetView showGridLines="0" topLeftCell="G2" workbookViewId="0">
      <selection activeCell="H7" sqref="H7"/>
    </sheetView>
  </sheetViews>
  <sheetFormatPr baseColWidth="10" defaultColWidth="8.83203125" defaultRowHeight="15" x14ac:dyDescent="0.2"/>
  <cols>
    <col min="1" max="1" width="2.83203125" customWidth="1"/>
    <col min="2" max="2" width="10.6640625" bestFit="1" customWidth="1"/>
    <col min="4" max="5" width="11.5" customWidth="1"/>
    <col min="7" max="7" width="20" customWidth="1"/>
  </cols>
  <sheetData>
    <row r="1" spans="2:8" ht="25.5" customHeight="1" x14ac:dyDescent="0.25">
      <c r="B1" s="18" t="s">
        <v>133</v>
      </c>
    </row>
    <row r="2" spans="2:8" ht="15" customHeight="1" x14ac:dyDescent="0.2">
      <c r="B2" s="31" t="s">
        <v>296</v>
      </c>
    </row>
    <row r="3" spans="2:8" ht="18" customHeight="1" x14ac:dyDescent="0.2"/>
    <row r="4" spans="2:8" x14ac:dyDescent="0.2">
      <c r="D4" s="3" t="s">
        <v>54</v>
      </c>
      <c r="G4" s="3" t="s">
        <v>54</v>
      </c>
    </row>
    <row r="5" spans="2:8" x14ac:dyDescent="0.2">
      <c r="B5" s="7" t="s">
        <v>77</v>
      </c>
      <c r="D5" s="115" t="s">
        <v>86</v>
      </c>
      <c r="E5" s="115"/>
      <c r="G5" s="115" t="s">
        <v>294</v>
      </c>
      <c r="H5" s="115"/>
    </row>
    <row r="6" spans="2:8" x14ac:dyDescent="0.2">
      <c r="B6" s="8">
        <v>90.2</v>
      </c>
      <c r="D6" s="20" t="s">
        <v>46</v>
      </c>
      <c r="E6" s="75">
        <f>AVERAGE(B6:B100)</f>
        <v>80.169473684210516</v>
      </c>
      <c r="G6" s="20" t="s">
        <v>103</v>
      </c>
      <c r="H6" s="71">
        <v>90</v>
      </c>
    </row>
    <row r="7" spans="2:8" x14ac:dyDescent="0.2">
      <c r="B7" s="8">
        <v>92.8</v>
      </c>
      <c r="D7" s="20" t="s">
        <v>70</v>
      </c>
      <c r="E7" s="75">
        <f>_xlfn.STDEV.S(B6:B100)</f>
        <v>6.1707800411122609</v>
      </c>
      <c r="G7" s="20" t="s">
        <v>104</v>
      </c>
      <c r="H7" s="81">
        <f>1-_xlfn.NORM.DIST(90,E6,E7,TRUE)</f>
        <v>5.5571485331932569E-2</v>
      </c>
    </row>
    <row r="8" spans="2:8" x14ac:dyDescent="0.2">
      <c r="B8" s="8">
        <v>68.7</v>
      </c>
      <c r="G8" s="20"/>
      <c r="H8" s="29"/>
    </row>
    <row r="9" spans="2:8" x14ac:dyDescent="0.2">
      <c r="B9" s="8">
        <v>80.7</v>
      </c>
    </row>
    <row r="10" spans="2:8" x14ac:dyDescent="0.2">
      <c r="B10" s="8">
        <v>74.900000000000006</v>
      </c>
    </row>
    <row r="11" spans="2:8" x14ac:dyDescent="0.2">
      <c r="B11" s="8">
        <v>80.7</v>
      </c>
    </row>
    <row r="12" spans="2:8" x14ac:dyDescent="0.2">
      <c r="B12" s="8">
        <v>83.3</v>
      </c>
    </row>
    <row r="13" spans="2:8" x14ac:dyDescent="0.2">
      <c r="B13" s="8">
        <v>88.7</v>
      </c>
    </row>
    <row r="14" spans="2:8" x14ac:dyDescent="0.2">
      <c r="B14" s="8">
        <v>75.400000000000006</v>
      </c>
    </row>
    <row r="15" spans="2:8" x14ac:dyDescent="0.2">
      <c r="B15" s="8">
        <v>82.1</v>
      </c>
    </row>
    <row r="16" spans="2:8" x14ac:dyDescent="0.2">
      <c r="B16" s="8">
        <v>87.5</v>
      </c>
    </row>
    <row r="17" spans="2:2" x14ac:dyDescent="0.2">
      <c r="B17" s="8">
        <v>66.900000000000006</v>
      </c>
    </row>
    <row r="18" spans="2:2" x14ac:dyDescent="0.2">
      <c r="B18" s="8">
        <v>71.3</v>
      </c>
    </row>
    <row r="19" spans="2:2" x14ac:dyDescent="0.2">
      <c r="B19" s="8">
        <v>76.8</v>
      </c>
    </row>
    <row r="20" spans="2:2" x14ac:dyDescent="0.2">
      <c r="B20" s="8">
        <v>72.3</v>
      </c>
    </row>
    <row r="21" spans="2:2" x14ac:dyDescent="0.2">
      <c r="B21" s="8">
        <v>72.400000000000006</v>
      </c>
    </row>
    <row r="22" spans="2:2" x14ac:dyDescent="0.2">
      <c r="B22" s="8">
        <v>72</v>
      </c>
    </row>
    <row r="23" spans="2:2" x14ac:dyDescent="0.2">
      <c r="B23" s="8">
        <v>81</v>
      </c>
    </row>
    <row r="24" spans="2:2" x14ac:dyDescent="0.2">
      <c r="B24" s="8">
        <v>96.1</v>
      </c>
    </row>
    <row r="25" spans="2:2" x14ac:dyDescent="0.2">
      <c r="B25" s="8">
        <v>76.7</v>
      </c>
    </row>
    <row r="26" spans="2:2" x14ac:dyDescent="0.2">
      <c r="B26" s="8">
        <v>80.3</v>
      </c>
    </row>
    <row r="27" spans="2:2" x14ac:dyDescent="0.2">
      <c r="B27" s="8">
        <v>77.8</v>
      </c>
    </row>
    <row r="28" spans="2:2" x14ac:dyDescent="0.2">
      <c r="B28" s="8">
        <v>62.6</v>
      </c>
    </row>
    <row r="29" spans="2:2" x14ac:dyDescent="0.2">
      <c r="B29" s="8">
        <v>80.2</v>
      </c>
    </row>
    <row r="30" spans="2:2" x14ac:dyDescent="0.2">
      <c r="B30" s="8">
        <v>79.099999999999994</v>
      </c>
    </row>
    <row r="31" spans="2:2" x14ac:dyDescent="0.2">
      <c r="B31" s="8">
        <v>77.8</v>
      </c>
    </row>
    <row r="32" spans="2:2" x14ac:dyDescent="0.2">
      <c r="B32" s="8">
        <v>75.099999999999994</v>
      </c>
    </row>
    <row r="33" spans="2:2" x14ac:dyDescent="0.2">
      <c r="B33" s="8">
        <v>82.2</v>
      </c>
    </row>
    <row r="34" spans="2:2" x14ac:dyDescent="0.2">
      <c r="B34" s="8">
        <v>70.5</v>
      </c>
    </row>
    <row r="35" spans="2:2" x14ac:dyDescent="0.2">
      <c r="B35" s="8">
        <v>70.8</v>
      </c>
    </row>
    <row r="36" spans="2:2" x14ac:dyDescent="0.2">
      <c r="B36" s="8">
        <v>87.5</v>
      </c>
    </row>
    <row r="37" spans="2:2" x14ac:dyDescent="0.2">
      <c r="B37" s="8">
        <v>79.5</v>
      </c>
    </row>
    <row r="38" spans="2:2" x14ac:dyDescent="0.2">
      <c r="B38" s="8">
        <v>80.8</v>
      </c>
    </row>
    <row r="39" spans="2:2" x14ac:dyDescent="0.2">
      <c r="B39" s="8">
        <v>79.599999999999994</v>
      </c>
    </row>
    <row r="40" spans="2:2" x14ac:dyDescent="0.2">
      <c r="B40" s="8">
        <v>88.9</v>
      </c>
    </row>
    <row r="41" spans="2:2" x14ac:dyDescent="0.2">
      <c r="B41" s="8">
        <v>85.9</v>
      </c>
    </row>
    <row r="42" spans="2:2" x14ac:dyDescent="0.2">
      <c r="B42" s="8">
        <v>82.3</v>
      </c>
    </row>
    <row r="43" spans="2:2" x14ac:dyDescent="0.2">
      <c r="B43" s="8">
        <v>76.7</v>
      </c>
    </row>
    <row r="44" spans="2:2" x14ac:dyDescent="0.2">
      <c r="B44" s="8">
        <v>79.900000000000006</v>
      </c>
    </row>
    <row r="45" spans="2:2" x14ac:dyDescent="0.2">
      <c r="B45" s="8">
        <v>86.2</v>
      </c>
    </row>
    <row r="46" spans="2:2" x14ac:dyDescent="0.2">
      <c r="B46" s="8">
        <v>79.2</v>
      </c>
    </row>
    <row r="47" spans="2:2" x14ac:dyDescent="0.2">
      <c r="B47" s="8">
        <v>83.4</v>
      </c>
    </row>
    <row r="48" spans="2:2" x14ac:dyDescent="0.2">
      <c r="B48" s="8">
        <v>85.2</v>
      </c>
    </row>
    <row r="49" spans="2:2" x14ac:dyDescent="0.2">
      <c r="B49" s="8">
        <v>77.8</v>
      </c>
    </row>
    <row r="50" spans="2:2" x14ac:dyDescent="0.2">
      <c r="B50" s="8">
        <v>80.2</v>
      </c>
    </row>
    <row r="51" spans="2:2" x14ac:dyDescent="0.2">
      <c r="B51" s="8">
        <v>71</v>
      </c>
    </row>
    <row r="52" spans="2:2" x14ac:dyDescent="0.2">
      <c r="B52" s="8">
        <v>87.2</v>
      </c>
    </row>
    <row r="53" spans="2:2" x14ac:dyDescent="0.2">
      <c r="B53" s="8">
        <v>82.9</v>
      </c>
    </row>
    <row r="54" spans="2:2" x14ac:dyDescent="0.2">
      <c r="B54" s="8">
        <v>73.5</v>
      </c>
    </row>
    <row r="55" spans="2:2" x14ac:dyDescent="0.2">
      <c r="B55" s="8">
        <v>74.599999999999994</v>
      </c>
    </row>
    <row r="56" spans="2:2" x14ac:dyDescent="0.2">
      <c r="B56" s="8">
        <v>75.099999999999994</v>
      </c>
    </row>
    <row r="57" spans="2:2" x14ac:dyDescent="0.2">
      <c r="B57" s="8">
        <v>85.1</v>
      </c>
    </row>
    <row r="58" spans="2:2" x14ac:dyDescent="0.2">
      <c r="B58" s="8">
        <v>74.900000000000006</v>
      </c>
    </row>
    <row r="59" spans="2:2" x14ac:dyDescent="0.2">
      <c r="B59" s="8">
        <v>84.6</v>
      </c>
    </row>
    <row r="60" spans="2:2" x14ac:dyDescent="0.2">
      <c r="B60" s="8">
        <v>81.7</v>
      </c>
    </row>
    <row r="61" spans="2:2" x14ac:dyDescent="0.2">
      <c r="B61" s="8">
        <v>81.400000000000006</v>
      </c>
    </row>
    <row r="62" spans="2:2" x14ac:dyDescent="0.2">
      <c r="B62" s="8">
        <v>83.8</v>
      </c>
    </row>
    <row r="63" spans="2:2" x14ac:dyDescent="0.2">
      <c r="B63" s="8">
        <v>88.5</v>
      </c>
    </row>
    <row r="64" spans="2:2" x14ac:dyDescent="0.2">
      <c r="B64" s="8">
        <v>84.9</v>
      </c>
    </row>
    <row r="65" spans="2:2" x14ac:dyDescent="0.2">
      <c r="B65" s="8">
        <v>84.3</v>
      </c>
    </row>
    <row r="66" spans="2:2" x14ac:dyDescent="0.2">
      <c r="B66" s="8">
        <v>78.2</v>
      </c>
    </row>
    <row r="67" spans="2:2" x14ac:dyDescent="0.2">
      <c r="B67" s="8">
        <v>80</v>
      </c>
    </row>
    <row r="68" spans="2:2" x14ac:dyDescent="0.2">
      <c r="B68" s="8">
        <v>74.8</v>
      </c>
    </row>
    <row r="69" spans="2:2" x14ac:dyDescent="0.2">
      <c r="B69" s="8">
        <v>78.5</v>
      </c>
    </row>
    <row r="70" spans="2:2" x14ac:dyDescent="0.2">
      <c r="B70" s="8">
        <v>71.8</v>
      </c>
    </row>
    <row r="71" spans="2:2" x14ac:dyDescent="0.2">
      <c r="B71" s="8">
        <v>69.900000000000006</v>
      </c>
    </row>
    <row r="72" spans="2:2" x14ac:dyDescent="0.2">
      <c r="B72" s="8">
        <v>82.7</v>
      </c>
    </row>
    <row r="73" spans="2:2" x14ac:dyDescent="0.2">
      <c r="B73" s="8">
        <v>74</v>
      </c>
    </row>
    <row r="74" spans="2:2" x14ac:dyDescent="0.2">
      <c r="B74" s="8">
        <v>84</v>
      </c>
    </row>
    <row r="75" spans="2:2" x14ac:dyDescent="0.2">
      <c r="B75" s="8">
        <v>84.7</v>
      </c>
    </row>
    <row r="76" spans="2:2" x14ac:dyDescent="0.2">
      <c r="B76" s="8">
        <v>78.2</v>
      </c>
    </row>
    <row r="77" spans="2:2" x14ac:dyDescent="0.2">
      <c r="B77" s="8">
        <v>85</v>
      </c>
    </row>
    <row r="78" spans="2:2" x14ac:dyDescent="0.2">
      <c r="B78" s="8">
        <v>80.099999999999994</v>
      </c>
    </row>
    <row r="79" spans="2:2" x14ac:dyDescent="0.2">
      <c r="B79" s="8">
        <v>85.3</v>
      </c>
    </row>
    <row r="80" spans="2:2" x14ac:dyDescent="0.2">
      <c r="B80" s="8">
        <v>79.7</v>
      </c>
    </row>
    <row r="81" spans="2:2" x14ac:dyDescent="0.2">
      <c r="B81" s="8">
        <v>79.599999999999994</v>
      </c>
    </row>
    <row r="82" spans="2:2" x14ac:dyDescent="0.2">
      <c r="B82" s="8">
        <v>78.900000000000006</v>
      </c>
    </row>
    <row r="83" spans="2:2" x14ac:dyDescent="0.2">
      <c r="B83" s="8">
        <v>78.5</v>
      </c>
    </row>
    <row r="84" spans="2:2" x14ac:dyDescent="0.2">
      <c r="B84" s="8">
        <v>72</v>
      </c>
    </row>
    <row r="85" spans="2:2" x14ac:dyDescent="0.2">
      <c r="B85" s="8">
        <v>74.2</v>
      </c>
    </row>
    <row r="86" spans="2:2" x14ac:dyDescent="0.2">
      <c r="B86" s="8">
        <v>71.7</v>
      </c>
    </row>
    <row r="87" spans="2:2" x14ac:dyDescent="0.2">
      <c r="B87" s="8">
        <v>80.7</v>
      </c>
    </row>
    <row r="88" spans="2:2" x14ac:dyDescent="0.2">
      <c r="B88" s="8">
        <v>84.1</v>
      </c>
    </row>
    <row r="89" spans="2:2" x14ac:dyDescent="0.2">
      <c r="B89" s="8">
        <v>87.4</v>
      </c>
    </row>
    <row r="90" spans="2:2" x14ac:dyDescent="0.2">
      <c r="B90" s="8">
        <v>77.400000000000006</v>
      </c>
    </row>
    <row r="91" spans="2:2" x14ac:dyDescent="0.2">
      <c r="B91" s="8">
        <v>84.7</v>
      </c>
    </row>
    <row r="92" spans="2:2" x14ac:dyDescent="0.2">
      <c r="B92" s="8">
        <v>78.8</v>
      </c>
    </row>
    <row r="93" spans="2:2" x14ac:dyDescent="0.2">
      <c r="B93" s="8">
        <v>92.7</v>
      </c>
    </row>
    <row r="94" spans="2:2" x14ac:dyDescent="0.2">
      <c r="B94" s="8">
        <v>88.8</v>
      </c>
    </row>
    <row r="95" spans="2:2" x14ac:dyDescent="0.2">
      <c r="B95" s="8">
        <v>86.6</v>
      </c>
    </row>
    <row r="96" spans="2:2" x14ac:dyDescent="0.2">
      <c r="B96" s="8">
        <v>77.900000000000006</v>
      </c>
    </row>
    <row r="97" spans="2:2" x14ac:dyDescent="0.2">
      <c r="B97" s="8">
        <v>86.1</v>
      </c>
    </row>
    <row r="98" spans="2:2" x14ac:dyDescent="0.2">
      <c r="B98" s="8">
        <v>89.9</v>
      </c>
    </row>
    <row r="99" spans="2:2" x14ac:dyDescent="0.2">
      <c r="B99" s="8">
        <v>83.1</v>
      </c>
    </row>
    <row r="100" spans="2:2" x14ac:dyDescent="0.2">
      <c r="B100" s="8">
        <v>82.6</v>
      </c>
    </row>
  </sheetData>
  <mergeCells count="2">
    <mergeCell ref="D5:E5"/>
    <mergeCell ref="G5:H5"/>
  </mergeCells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BCC42-B190-4959-AD45-E5CCB67A793D}">
  <sheetPr codeName="Sheet23">
    <tabColor theme="5" tint="0.79998168889431442"/>
  </sheetPr>
  <dimension ref="B1:I100"/>
  <sheetViews>
    <sheetView showGridLines="0" topLeftCell="D1" workbookViewId="0">
      <selection activeCell="I10" sqref="I10"/>
    </sheetView>
  </sheetViews>
  <sheetFormatPr baseColWidth="10" defaultColWidth="8.83203125" defaultRowHeight="15" x14ac:dyDescent="0.2"/>
  <cols>
    <col min="1" max="1" width="2.83203125" customWidth="1"/>
    <col min="2" max="2" width="10.6640625" bestFit="1" customWidth="1"/>
    <col min="4" max="5" width="11.5" customWidth="1"/>
    <col min="8" max="8" width="18.1640625" bestFit="1" customWidth="1"/>
    <col min="9" max="9" width="21.6640625" bestFit="1" customWidth="1"/>
  </cols>
  <sheetData>
    <row r="1" spans="2:9" ht="25.5" customHeight="1" x14ac:dyDescent="0.25">
      <c r="B1" s="18" t="s">
        <v>134</v>
      </c>
    </row>
    <row r="2" spans="2:9" ht="15" customHeight="1" x14ac:dyDescent="0.2">
      <c r="B2" s="30" t="s">
        <v>298</v>
      </c>
    </row>
    <row r="3" spans="2:9" ht="18" customHeight="1" x14ac:dyDescent="0.2"/>
    <row r="4" spans="2:9" x14ac:dyDescent="0.2">
      <c r="D4" s="3" t="s">
        <v>54</v>
      </c>
      <c r="G4" s="3" t="s">
        <v>54</v>
      </c>
    </row>
    <row r="5" spans="2:9" x14ac:dyDescent="0.2">
      <c r="B5" s="7" t="s">
        <v>77</v>
      </c>
      <c r="D5" s="115" t="s">
        <v>86</v>
      </c>
      <c r="E5" s="115"/>
      <c r="G5" s="10" t="s">
        <v>99</v>
      </c>
      <c r="H5" s="10" t="s">
        <v>100</v>
      </c>
      <c r="I5" s="10" t="s">
        <v>105</v>
      </c>
    </row>
    <row r="6" spans="2:9" x14ac:dyDescent="0.2">
      <c r="B6" s="8">
        <v>90.2</v>
      </c>
      <c r="D6" s="20" t="s">
        <v>46</v>
      </c>
      <c r="E6" s="75">
        <f>AVERAGE(B6:B100)</f>
        <v>80.169473684210516</v>
      </c>
      <c r="G6" s="8">
        <v>60</v>
      </c>
      <c r="H6" s="8">
        <f>_xlfn.NORM.DIST(G6,$E$6,$E$7,FALSE)</f>
        <v>3.0952931395656784E-4</v>
      </c>
      <c r="I6" s="8">
        <f>IF(AND(G6&gt;=72,G6&lt;=86),H6,-100)</f>
        <v>-100</v>
      </c>
    </row>
    <row r="7" spans="2:9" x14ac:dyDescent="0.2">
      <c r="B7" s="8">
        <v>92.8</v>
      </c>
      <c r="D7" s="20" t="s">
        <v>70</v>
      </c>
      <c r="E7" s="75">
        <f>_xlfn.STDEV.S(B6:B100)</f>
        <v>6.1707800411122609</v>
      </c>
      <c r="G7" s="8">
        <v>62</v>
      </c>
      <c r="H7" s="8">
        <f t="shared" ref="H7:H26" si="0">_xlfn.NORM.DIST(G7,$E$6,$E$7,FALSE)</f>
        <v>8.4716192775783749E-4</v>
      </c>
      <c r="I7" s="8">
        <f t="shared" ref="I7:I26" si="1">IF(AND(G7&gt;=72,G7&lt;=86),H7,-100)</f>
        <v>-100</v>
      </c>
    </row>
    <row r="8" spans="2:9" x14ac:dyDescent="0.2">
      <c r="B8" s="8">
        <v>68.7</v>
      </c>
      <c r="G8" s="8">
        <v>64</v>
      </c>
      <c r="H8" s="8">
        <f t="shared" si="0"/>
        <v>2.087421445520822E-3</v>
      </c>
      <c r="I8" s="8">
        <f t="shared" si="1"/>
        <v>-100</v>
      </c>
    </row>
    <row r="9" spans="2:9" x14ac:dyDescent="0.2">
      <c r="B9" s="8">
        <v>80.7</v>
      </c>
      <c r="G9" s="8">
        <v>66</v>
      </c>
      <c r="H9" s="8">
        <f t="shared" si="0"/>
        <v>4.6305536271465499E-3</v>
      </c>
      <c r="I9" s="8">
        <f t="shared" si="1"/>
        <v>-100</v>
      </c>
    </row>
    <row r="10" spans="2:9" x14ac:dyDescent="0.2">
      <c r="B10" s="8">
        <v>74.900000000000006</v>
      </c>
      <c r="G10" s="8">
        <v>68</v>
      </c>
      <c r="H10" s="8">
        <f t="shared" si="0"/>
        <v>9.2477219127595003E-3</v>
      </c>
      <c r="I10" s="8">
        <f t="shared" si="1"/>
        <v>-100</v>
      </c>
    </row>
    <row r="11" spans="2:9" x14ac:dyDescent="0.2">
      <c r="B11" s="8">
        <v>80.7</v>
      </c>
      <c r="G11" s="8">
        <v>70</v>
      </c>
      <c r="H11" s="8">
        <f t="shared" si="0"/>
        <v>1.6627067938365887E-2</v>
      </c>
      <c r="I11" s="8">
        <f t="shared" si="1"/>
        <v>-100</v>
      </c>
    </row>
    <row r="12" spans="2:9" x14ac:dyDescent="0.2">
      <c r="B12" s="8">
        <v>83.3</v>
      </c>
      <c r="G12" s="8">
        <v>72</v>
      </c>
      <c r="H12" s="8">
        <f t="shared" si="0"/>
        <v>2.6913838820218548E-2</v>
      </c>
      <c r="I12" s="8">
        <f t="shared" si="1"/>
        <v>2.6913838820218548E-2</v>
      </c>
    </row>
    <row r="13" spans="2:9" x14ac:dyDescent="0.2">
      <c r="B13" s="8">
        <v>88.7</v>
      </c>
      <c r="G13" s="8">
        <v>74</v>
      </c>
      <c r="H13" s="8">
        <f t="shared" si="0"/>
        <v>3.922064118584874E-2</v>
      </c>
      <c r="I13" s="8">
        <f t="shared" si="1"/>
        <v>3.922064118584874E-2</v>
      </c>
    </row>
    <row r="14" spans="2:9" x14ac:dyDescent="0.2">
      <c r="B14" s="8">
        <v>75.400000000000006</v>
      </c>
      <c r="G14" s="8">
        <v>76</v>
      </c>
      <c r="H14" s="8">
        <f t="shared" si="0"/>
        <v>5.1455617885659118E-2</v>
      </c>
      <c r="I14" s="8">
        <f t="shared" si="1"/>
        <v>5.1455617885659118E-2</v>
      </c>
    </row>
    <row r="15" spans="2:9" x14ac:dyDescent="0.2">
      <c r="B15" s="8">
        <v>82.1</v>
      </c>
      <c r="G15" s="8">
        <v>78</v>
      </c>
      <c r="H15" s="8">
        <f t="shared" si="0"/>
        <v>6.0775700353358199E-2</v>
      </c>
      <c r="I15" s="8">
        <f t="shared" si="1"/>
        <v>6.0775700353358199E-2</v>
      </c>
    </row>
    <row r="16" spans="2:9" x14ac:dyDescent="0.2">
      <c r="B16" s="8">
        <v>87.5</v>
      </c>
      <c r="G16" s="8">
        <v>80</v>
      </c>
      <c r="H16" s="8">
        <f t="shared" si="0"/>
        <v>6.4625841766344283E-2</v>
      </c>
      <c r="I16" s="8">
        <f t="shared" si="1"/>
        <v>6.4625841766344283E-2</v>
      </c>
    </row>
    <row r="17" spans="2:9" x14ac:dyDescent="0.2">
      <c r="B17" s="8">
        <v>66.900000000000006</v>
      </c>
      <c r="G17" s="8">
        <v>82</v>
      </c>
      <c r="H17" s="8">
        <f t="shared" si="0"/>
        <v>6.186735083523575E-2</v>
      </c>
      <c r="I17" s="8">
        <f t="shared" si="1"/>
        <v>6.186735083523575E-2</v>
      </c>
    </row>
    <row r="18" spans="2:9" x14ac:dyDescent="0.2">
      <c r="B18" s="8">
        <v>71.3</v>
      </c>
      <c r="G18" s="8">
        <v>84</v>
      </c>
      <c r="H18" s="8">
        <f t="shared" si="0"/>
        <v>5.332070624163418E-2</v>
      </c>
      <c r="I18" s="8">
        <f t="shared" si="1"/>
        <v>5.332070624163418E-2</v>
      </c>
    </row>
    <row r="19" spans="2:9" x14ac:dyDescent="0.2">
      <c r="B19" s="8">
        <v>76.8</v>
      </c>
      <c r="G19" s="8">
        <v>86</v>
      </c>
      <c r="H19" s="8">
        <f t="shared" si="0"/>
        <v>4.137226830550346E-2</v>
      </c>
      <c r="I19" s="8">
        <f t="shared" si="1"/>
        <v>4.137226830550346E-2</v>
      </c>
    </row>
    <row r="20" spans="2:9" x14ac:dyDescent="0.2">
      <c r="B20" s="8">
        <v>72.3</v>
      </c>
      <c r="G20" s="8">
        <v>88</v>
      </c>
      <c r="H20" s="8">
        <f t="shared" si="0"/>
        <v>2.8900265870792894E-2</v>
      </c>
      <c r="I20" s="8">
        <f t="shared" si="1"/>
        <v>-100</v>
      </c>
    </row>
    <row r="21" spans="2:9" x14ac:dyDescent="0.2">
      <c r="B21" s="8">
        <v>72.400000000000006</v>
      </c>
      <c r="G21" s="8">
        <v>90</v>
      </c>
      <c r="H21" s="8">
        <f t="shared" si="0"/>
        <v>1.817495774949713E-2</v>
      </c>
      <c r="I21" s="8">
        <f t="shared" si="1"/>
        <v>-100</v>
      </c>
    </row>
    <row r="22" spans="2:9" x14ac:dyDescent="0.2">
      <c r="B22" s="8">
        <v>72</v>
      </c>
      <c r="G22" s="8">
        <v>92</v>
      </c>
      <c r="H22" s="8">
        <f t="shared" si="0"/>
        <v>1.0290205502344866E-2</v>
      </c>
      <c r="I22" s="8">
        <f t="shared" si="1"/>
        <v>-100</v>
      </c>
    </row>
    <row r="23" spans="2:9" x14ac:dyDescent="0.2">
      <c r="B23" s="8">
        <v>81</v>
      </c>
      <c r="G23" s="8">
        <v>94</v>
      </c>
      <c r="H23" s="8">
        <f t="shared" si="0"/>
        <v>5.2450997543787847E-3</v>
      </c>
      <c r="I23" s="8">
        <f t="shared" si="1"/>
        <v>-100</v>
      </c>
    </row>
    <row r="24" spans="2:9" x14ac:dyDescent="0.2">
      <c r="B24" s="8">
        <v>96.1</v>
      </c>
      <c r="G24" s="8">
        <v>96</v>
      </c>
      <c r="H24" s="8">
        <f t="shared" si="0"/>
        <v>2.4069248056546818E-3</v>
      </c>
      <c r="I24" s="8">
        <f t="shared" si="1"/>
        <v>-100</v>
      </c>
    </row>
    <row r="25" spans="2:9" x14ac:dyDescent="0.2">
      <c r="B25" s="8">
        <v>76.7</v>
      </c>
      <c r="G25" s="8">
        <v>98</v>
      </c>
      <c r="H25" s="8">
        <f t="shared" si="0"/>
        <v>9.9437537201741604E-4</v>
      </c>
      <c r="I25" s="8">
        <f t="shared" si="1"/>
        <v>-100</v>
      </c>
    </row>
    <row r="26" spans="2:9" x14ac:dyDescent="0.2">
      <c r="B26" s="8">
        <v>80.3</v>
      </c>
      <c r="G26" s="8">
        <v>100</v>
      </c>
      <c r="H26" s="8">
        <f t="shared" si="0"/>
        <v>3.6984288004996362E-4</v>
      </c>
      <c r="I26" s="8">
        <f t="shared" si="1"/>
        <v>-100</v>
      </c>
    </row>
    <row r="27" spans="2:9" x14ac:dyDescent="0.2">
      <c r="B27" s="8">
        <v>77.8</v>
      </c>
    </row>
    <row r="28" spans="2:9" x14ac:dyDescent="0.2">
      <c r="B28" s="8">
        <v>62.6</v>
      </c>
    </row>
    <row r="29" spans="2:9" x14ac:dyDescent="0.2">
      <c r="B29" s="8">
        <v>80.2</v>
      </c>
    </row>
    <row r="30" spans="2:9" x14ac:dyDescent="0.2">
      <c r="B30" s="8">
        <v>79.099999999999994</v>
      </c>
    </row>
    <row r="31" spans="2:9" x14ac:dyDescent="0.2">
      <c r="B31" s="8">
        <v>77.8</v>
      </c>
    </row>
    <row r="32" spans="2:9" x14ac:dyDescent="0.2">
      <c r="B32" s="8">
        <v>75.099999999999994</v>
      </c>
    </row>
    <row r="33" spans="2:2" x14ac:dyDescent="0.2">
      <c r="B33" s="8">
        <v>82.2</v>
      </c>
    </row>
    <row r="34" spans="2:2" x14ac:dyDescent="0.2">
      <c r="B34" s="8">
        <v>70.5</v>
      </c>
    </row>
    <row r="35" spans="2:2" x14ac:dyDescent="0.2">
      <c r="B35" s="8">
        <v>70.8</v>
      </c>
    </row>
    <row r="36" spans="2:2" x14ac:dyDescent="0.2">
      <c r="B36" s="8">
        <v>87.5</v>
      </c>
    </row>
    <row r="37" spans="2:2" x14ac:dyDescent="0.2">
      <c r="B37" s="8">
        <v>79.5</v>
      </c>
    </row>
    <row r="38" spans="2:2" x14ac:dyDescent="0.2">
      <c r="B38" s="8">
        <v>80.8</v>
      </c>
    </row>
    <row r="39" spans="2:2" x14ac:dyDescent="0.2">
      <c r="B39" s="8">
        <v>79.599999999999994</v>
      </c>
    </row>
    <row r="40" spans="2:2" x14ac:dyDescent="0.2">
      <c r="B40" s="8">
        <v>88.9</v>
      </c>
    </row>
    <row r="41" spans="2:2" x14ac:dyDescent="0.2">
      <c r="B41" s="8">
        <v>85.9</v>
      </c>
    </row>
    <row r="42" spans="2:2" x14ac:dyDescent="0.2">
      <c r="B42" s="8">
        <v>82.3</v>
      </c>
    </row>
    <row r="43" spans="2:2" x14ac:dyDescent="0.2">
      <c r="B43" s="8">
        <v>76.7</v>
      </c>
    </row>
    <row r="44" spans="2:2" x14ac:dyDescent="0.2">
      <c r="B44" s="8">
        <v>79.900000000000006</v>
      </c>
    </row>
    <row r="45" spans="2:2" x14ac:dyDescent="0.2">
      <c r="B45" s="8">
        <v>86.2</v>
      </c>
    </row>
    <row r="46" spans="2:2" x14ac:dyDescent="0.2">
      <c r="B46" s="8">
        <v>79.2</v>
      </c>
    </row>
    <row r="47" spans="2:2" x14ac:dyDescent="0.2">
      <c r="B47" s="8">
        <v>83.4</v>
      </c>
    </row>
    <row r="48" spans="2:2" x14ac:dyDescent="0.2">
      <c r="B48" s="8">
        <v>85.2</v>
      </c>
    </row>
    <row r="49" spans="2:2" x14ac:dyDescent="0.2">
      <c r="B49" s="8">
        <v>77.8</v>
      </c>
    </row>
    <row r="50" spans="2:2" x14ac:dyDescent="0.2">
      <c r="B50" s="8">
        <v>80.2</v>
      </c>
    </row>
    <row r="51" spans="2:2" x14ac:dyDescent="0.2">
      <c r="B51" s="8">
        <v>71</v>
      </c>
    </row>
    <row r="52" spans="2:2" x14ac:dyDescent="0.2">
      <c r="B52" s="8">
        <v>87.2</v>
      </c>
    </row>
    <row r="53" spans="2:2" x14ac:dyDescent="0.2">
      <c r="B53" s="8">
        <v>82.9</v>
      </c>
    </row>
    <row r="54" spans="2:2" x14ac:dyDescent="0.2">
      <c r="B54" s="8">
        <v>73.5</v>
      </c>
    </row>
    <row r="55" spans="2:2" x14ac:dyDescent="0.2">
      <c r="B55" s="8">
        <v>74.599999999999994</v>
      </c>
    </row>
    <row r="56" spans="2:2" x14ac:dyDescent="0.2">
      <c r="B56" s="8">
        <v>75.099999999999994</v>
      </c>
    </row>
    <row r="57" spans="2:2" x14ac:dyDescent="0.2">
      <c r="B57" s="8">
        <v>85.1</v>
      </c>
    </row>
    <row r="58" spans="2:2" x14ac:dyDescent="0.2">
      <c r="B58" s="8">
        <v>74.900000000000006</v>
      </c>
    </row>
    <row r="59" spans="2:2" x14ac:dyDescent="0.2">
      <c r="B59" s="8">
        <v>84.6</v>
      </c>
    </row>
    <row r="60" spans="2:2" x14ac:dyDescent="0.2">
      <c r="B60" s="8">
        <v>81.7</v>
      </c>
    </row>
    <row r="61" spans="2:2" x14ac:dyDescent="0.2">
      <c r="B61" s="8">
        <v>81.400000000000006</v>
      </c>
    </row>
    <row r="62" spans="2:2" x14ac:dyDescent="0.2">
      <c r="B62" s="8">
        <v>83.8</v>
      </c>
    </row>
    <row r="63" spans="2:2" x14ac:dyDescent="0.2">
      <c r="B63" s="8">
        <v>88.5</v>
      </c>
    </row>
    <row r="64" spans="2:2" x14ac:dyDescent="0.2">
      <c r="B64" s="8">
        <v>84.9</v>
      </c>
    </row>
    <row r="65" spans="2:2" x14ac:dyDescent="0.2">
      <c r="B65" s="8">
        <v>84.3</v>
      </c>
    </row>
    <row r="66" spans="2:2" x14ac:dyDescent="0.2">
      <c r="B66" s="8">
        <v>78.2</v>
      </c>
    </row>
    <row r="67" spans="2:2" x14ac:dyDescent="0.2">
      <c r="B67" s="8">
        <v>80</v>
      </c>
    </row>
    <row r="68" spans="2:2" x14ac:dyDescent="0.2">
      <c r="B68" s="8">
        <v>74.8</v>
      </c>
    </row>
    <row r="69" spans="2:2" x14ac:dyDescent="0.2">
      <c r="B69" s="8">
        <v>78.5</v>
      </c>
    </row>
    <row r="70" spans="2:2" x14ac:dyDescent="0.2">
      <c r="B70" s="8">
        <v>71.8</v>
      </c>
    </row>
    <row r="71" spans="2:2" x14ac:dyDescent="0.2">
      <c r="B71" s="8">
        <v>69.900000000000006</v>
      </c>
    </row>
    <row r="72" spans="2:2" x14ac:dyDescent="0.2">
      <c r="B72" s="8">
        <v>82.7</v>
      </c>
    </row>
    <row r="73" spans="2:2" x14ac:dyDescent="0.2">
      <c r="B73" s="8">
        <v>74</v>
      </c>
    </row>
    <row r="74" spans="2:2" x14ac:dyDescent="0.2">
      <c r="B74" s="8">
        <v>84</v>
      </c>
    </row>
    <row r="75" spans="2:2" x14ac:dyDescent="0.2">
      <c r="B75" s="8">
        <v>84.7</v>
      </c>
    </row>
    <row r="76" spans="2:2" x14ac:dyDescent="0.2">
      <c r="B76" s="8">
        <v>78.2</v>
      </c>
    </row>
    <row r="77" spans="2:2" x14ac:dyDescent="0.2">
      <c r="B77" s="8">
        <v>85</v>
      </c>
    </row>
    <row r="78" spans="2:2" x14ac:dyDescent="0.2">
      <c r="B78" s="8">
        <v>80.099999999999994</v>
      </c>
    </row>
    <row r="79" spans="2:2" x14ac:dyDescent="0.2">
      <c r="B79" s="8">
        <v>85.3</v>
      </c>
    </row>
    <row r="80" spans="2:2" x14ac:dyDescent="0.2">
      <c r="B80" s="8">
        <v>79.7</v>
      </c>
    </row>
    <row r="81" spans="2:2" x14ac:dyDescent="0.2">
      <c r="B81" s="8">
        <v>79.599999999999994</v>
      </c>
    </row>
    <row r="82" spans="2:2" x14ac:dyDescent="0.2">
      <c r="B82" s="8">
        <v>78.900000000000006</v>
      </c>
    </row>
    <row r="83" spans="2:2" x14ac:dyDescent="0.2">
      <c r="B83" s="8">
        <v>78.5</v>
      </c>
    </row>
    <row r="84" spans="2:2" x14ac:dyDescent="0.2">
      <c r="B84" s="8">
        <v>72</v>
      </c>
    </row>
    <row r="85" spans="2:2" x14ac:dyDescent="0.2">
      <c r="B85" s="8">
        <v>74.2</v>
      </c>
    </row>
    <row r="86" spans="2:2" x14ac:dyDescent="0.2">
      <c r="B86" s="8">
        <v>71.7</v>
      </c>
    </row>
    <row r="87" spans="2:2" x14ac:dyDescent="0.2">
      <c r="B87" s="8">
        <v>80.7</v>
      </c>
    </row>
    <row r="88" spans="2:2" x14ac:dyDescent="0.2">
      <c r="B88" s="8">
        <v>84.1</v>
      </c>
    </row>
    <row r="89" spans="2:2" x14ac:dyDescent="0.2">
      <c r="B89" s="8">
        <v>87.4</v>
      </c>
    </row>
    <row r="90" spans="2:2" x14ac:dyDescent="0.2">
      <c r="B90" s="8">
        <v>77.400000000000006</v>
      </c>
    </row>
    <row r="91" spans="2:2" x14ac:dyDescent="0.2">
      <c r="B91" s="8">
        <v>84.7</v>
      </c>
    </row>
    <row r="92" spans="2:2" x14ac:dyDescent="0.2">
      <c r="B92" s="8">
        <v>78.8</v>
      </c>
    </row>
    <row r="93" spans="2:2" x14ac:dyDescent="0.2">
      <c r="B93" s="8">
        <v>92.7</v>
      </c>
    </row>
    <row r="94" spans="2:2" x14ac:dyDescent="0.2">
      <c r="B94" s="8">
        <v>88.8</v>
      </c>
    </row>
    <row r="95" spans="2:2" x14ac:dyDescent="0.2">
      <c r="B95" s="8">
        <v>86.6</v>
      </c>
    </row>
    <row r="96" spans="2:2" x14ac:dyDescent="0.2">
      <c r="B96" s="8">
        <v>77.900000000000006</v>
      </c>
    </row>
    <row r="97" spans="2:2" x14ac:dyDescent="0.2">
      <c r="B97" s="8">
        <v>86.1</v>
      </c>
    </row>
    <row r="98" spans="2:2" x14ac:dyDescent="0.2">
      <c r="B98" s="8">
        <v>89.9</v>
      </c>
    </row>
    <row r="99" spans="2:2" x14ac:dyDescent="0.2">
      <c r="B99" s="8">
        <v>83.1</v>
      </c>
    </row>
    <row r="100" spans="2:2" x14ac:dyDescent="0.2">
      <c r="B100" s="8">
        <v>82.6</v>
      </c>
    </row>
  </sheetData>
  <mergeCells count="1">
    <mergeCell ref="D5:E5"/>
  </mergeCells>
  <pageMargins left="0.7" right="0.7" top="0.75" bottom="0.75" header="0.3" footer="0.3"/>
  <pageSetup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711A9-692D-463F-AAA9-D3D5CF47B87B}">
  <sheetPr codeName="Sheet24">
    <tabColor theme="5" tint="0.79998168889431442"/>
  </sheetPr>
  <dimension ref="B1:H100"/>
  <sheetViews>
    <sheetView showGridLines="0" workbookViewId="0">
      <selection activeCell="J7" sqref="J7"/>
    </sheetView>
  </sheetViews>
  <sheetFormatPr baseColWidth="10" defaultColWidth="8.83203125" defaultRowHeight="15" x14ac:dyDescent="0.2"/>
  <cols>
    <col min="1" max="1" width="2.83203125" customWidth="1"/>
    <col min="2" max="2" width="10.6640625" bestFit="1" customWidth="1"/>
    <col min="4" max="5" width="11.5" customWidth="1"/>
    <col min="7" max="7" width="20" customWidth="1"/>
  </cols>
  <sheetData>
    <row r="1" spans="2:8" ht="25.5" customHeight="1" x14ac:dyDescent="0.25">
      <c r="B1" s="18" t="s">
        <v>135</v>
      </c>
    </row>
    <row r="2" spans="2:8" ht="15" customHeight="1" x14ac:dyDescent="0.2">
      <c r="B2" s="30" t="s">
        <v>300</v>
      </c>
    </row>
    <row r="3" spans="2:8" ht="18" customHeight="1" x14ac:dyDescent="0.2"/>
    <row r="4" spans="2:8" x14ac:dyDescent="0.2">
      <c r="D4" s="3" t="s">
        <v>54</v>
      </c>
      <c r="G4" s="3" t="s">
        <v>54</v>
      </c>
    </row>
    <row r="5" spans="2:8" x14ac:dyDescent="0.2">
      <c r="B5" s="7" t="s">
        <v>77</v>
      </c>
      <c r="D5" s="115" t="s">
        <v>86</v>
      </c>
      <c r="E5" s="115"/>
      <c r="G5" s="115" t="s">
        <v>299</v>
      </c>
      <c r="H5" s="115"/>
    </row>
    <row r="6" spans="2:8" x14ac:dyDescent="0.2">
      <c r="B6" s="8">
        <v>90.2</v>
      </c>
      <c r="D6" s="20" t="s">
        <v>46</v>
      </c>
      <c r="E6" s="75">
        <f>AVERAGE(B6:B100)</f>
        <v>80.169473684210516</v>
      </c>
      <c r="G6" s="20" t="s">
        <v>111</v>
      </c>
      <c r="H6" s="82">
        <v>0.25</v>
      </c>
    </row>
    <row r="7" spans="2:8" x14ac:dyDescent="0.2">
      <c r="B7" s="8">
        <v>92.8</v>
      </c>
      <c r="D7" s="20" t="s">
        <v>70</v>
      </c>
      <c r="E7" s="75">
        <f>_xlfn.STDEV.S(B6:B100)</f>
        <v>6.1707800411122609</v>
      </c>
      <c r="G7" s="20" t="s">
        <v>112</v>
      </c>
      <c r="H7" s="82">
        <v>0.75</v>
      </c>
    </row>
    <row r="8" spans="2:8" x14ac:dyDescent="0.2">
      <c r="B8" s="8">
        <v>68.7</v>
      </c>
      <c r="G8" s="20" t="s">
        <v>114</v>
      </c>
      <c r="H8" s="83">
        <f>_xlfn.NORM.INV(H6,$E$6,$E$7)</f>
        <v>76.007345795765744</v>
      </c>
    </row>
    <row r="9" spans="2:8" x14ac:dyDescent="0.2">
      <c r="B9" s="8">
        <v>80.7</v>
      </c>
      <c r="D9" s="20"/>
      <c r="E9" s="29"/>
      <c r="G9" s="20" t="s">
        <v>113</v>
      </c>
      <c r="H9" s="103">
        <f>_xlfn.NORM.INV(H7,$E$6,$E$7)</f>
        <v>84.331601572655288</v>
      </c>
    </row>
    <row r="10" spans="2:8" x14ac:dyDescent="0.2">
      <c r="B10" s="8">
        <v>74.900000000000006</v>
      </c>
      <c r="D10" s="20"/>
      <c r="E10" s="29"/>
    </row>
    <row r="11" spans="2:8" x14ac:dyDescent="0.2">
      <c r="B11" s="8">
        <v>80.7</v>
      </c>
    </row>
    <row r="12" spans="2:8" x14ac:dyDescent="0.2">
      <c r="B12" s="8">
        <v>83.3</v>
      </c>
    </row>
    <row r="13" spans="2:8" x14ac:dyDescent="0.2">
      <c r="B13" s="8">
        <v>88.7</v>
      </c>
    </row>
    <row r="14" spans="2:8" x14ac:dyDescent="0.2">
      <c r="B14" s="8">
        <v>75.400000000000006</v>
      </c>
    </row>
    <row r="15" spans="2:8" x14ac:dyDescent="0.2">
      <c r="B15" s="8">
        <v>82.1</v>
      </c>
    </row>
    <row r="16" spans="2:8" x14ac:dyDescent="0.2">
      <c r="B16" s="8">
        <v>87.5</v>
      </c>
    </row>
    <row r="17" spans="2:2" x14ac:dyDescent="0.2">
      <c r="B17" s="8">
        <v>66.900000000000006</v>
      </c>
    </row>
    <row r="18" spans="2:2" x14ac:dyDescent="0.2">
      <c r="B18" s="8">
        <v>71.3</v>
      </c>
    </row>
    <row r="19" spans="2:2" x14ac:dyDescent="0.2">
      <c r="B19" s="8">
        <v>76.8</v>
      </c>
    </row>
    <row r="20" spans="2:2" x14ac:dyDescent="0.2">
      <c r="B20" s="8">
        <v>72.3</v>
      </c>
    </row>
    <row r="21" spans="2:2" x14ac:dyDescent="0.2">
      <c r="B21" s="8">
        <v>72.400000000000006</v>
      </c>
    </row>
    <row r="22" spans="2:2" x14ac:dyDescent="0.2">
      <c r="B22" s="8">
        <v>72</v>
      </c>
    </row>
    <row r="23" spans="2:2" x14ac:dyDescent="0.2">
      <c r="B23" s="8">
        <v>81</v>
      </c>
    </row>
    <row r="24" spans="2:2" x14ac:dyDescent="0.2">
      <c r="B24" s="8">
        <v>96.1</v>
      </c>
    </row>
    <row r="25" spans="2:2" x14ac:dyDescent="0.2">
      <c r="B25" s="8">
        <v>76.7</v>
      </c>
    </row>
    <row r="26" spans="2:2" x14ac:dyDescent="0.2">
      <c r="B26" s="8">
        <v>80.3</v>
      </c>
    </row>
    <row r="27" spans="2:2" x14ac:dyDescent="0.2">
      <c r="B27" s="8">
        <v>77.8</v>
      </c>
    </row>
    <row r="28" spans="2:2" x14ac:dyDescent="0.2">
      <c r="B28" s="8">
        <v>62.6</v>
      </c>
    </row>
    <row r="29" spans="2:2" x14ac:dyDescent="0.2">
      <c r="B29" s="8">
        <v>80.2</v>
      </c>
    </row>
    <row r="30" spans="2:2" x14ac:dyDescent="0.2">
      <c r="B30" s="8">
        <v>79.099999999999994</v>
      </c>
    </row>
    <row r="31" spans="2:2" x14ac:dyDescent="0.2">
      <c r="B31" s="8">
        <v>77.8</v>
      </c>
    </row>
    <row r="32" spans="2:2" x14ac:dyDescent="0.2">
      <c r="B32" s="8">
        <v>75.099999999999994</v>
      </c>
    </row>
    <row r="33" spans="2:2" x14ac:dyDescent="0.2">
      <c r="B33" s="8">
        <v>82.2</v>
      </c>
    </row>
    <row r="34" spans="2:2" x14ac:dyDescent="0.2">
      <c r="B34" s="8">
        <v>70.5</v>
      </c>
    </row>
    <row r="35" spans="2:2" x14ac:dyDescent="0.2">
      <c r="B35" s="8">
        <v>70.8</v>
      </c>
    </row>
    <row r="36" spans="2:2" x14ac:dyDescent="0.2">
      <c r="B36" s="8">
        <v>87.5</v>
      </c>
    </row>
    <row r="37" spans="2:2" x14ac:dyDescent="0.2">
      <c r="B37" s="8">
        <v>79.5</v>
      </c>
    </row>
    <row r="38" spans="2:2" x14ac:dyDescent="0.2">
      <c r="B38" s="8">
        <v>80.8</v>
      </c>
    </row>
    <row r="39" spans="2:2" x14ac:dyDescent="0.2">
      <c r="B39" s="8">
        <v>79.599999999999994</v>
      </c>
    </row>
    <row r="40" spans="2:2" x14ac:dyDescent="0.2">
      <c r="B40" s="8">
        <v>88.9</v>
      </c>
    </row>
    <row r="41" spans="2:2" x14ac:dyDescent="0.2">
      <c r="B41" s="8">
        <v>85.9</v>
      </c>
    </row>
    <row r="42" spans="2:2" x14ac:dyDescent="0.2">
      <c r="B42" s="8">
        <v>82.3</v>
      </c>
    </row>
    <row r="43" spans="2:2" x14ac:dyDescent="0.2">
      <c r="B43" s="8">
        <v>76.7</v>
      </c>
    </row>
    <row r="44" spans="2:2" x14ac:dyDescent="0.2">
      <c r="B44" s="8">
        <v>79.900000000000006</v>
      </c>
    </row>
    <row r="45" spans="2:2" x14ac:dyDescent="0.2">
      <c r="B45" s="8">
        <v>86.2</v>
      </c>
    </row>
    <row r="46" spans="2:2" x14ac:dyDescent="0.2">
      <c r="B46" s="8">
        <v>79.2</v>
      </c>
    </row>
    <row r="47" spans="2:2" x14ac:dyDescent="0.2">
      <c r="B47" s="8">
        <v>83.4</v>
      </c>
    </row>
    <row r="48" spans="2:2" x14ac:dyDescent="0.2">
      <c r="B48" s="8">
        <v>85.2</v>
      </c>
    </row>
    <row r="49" spans="2:2" x14ac:dyDescent="0.2">
      <c r="B49" s="8">
        <v>77.8</v>
      </c>
    </row>
    <row r="50" spans="2:2" x14ac:dyDescent="0.2">
      <c r="B50" s="8">
        <v>80.2</v>
      </c>
    </row>
    <row r="51" spans="2:2" x14ac:dyDescent="0.2">
      <c r="B51" s="8">
        <v>71</v>
      </c>
    </row>
    <row r="52" spans="2:2" x14ac:dyDescent="0.2">
      <c r="B52" s="8">
        <v>87.2</v>
      </c>
    </row>
    <row r="53" spans="2:2" x14ac:dyDescent="0.2">
      <c r="B53" s="8">
        <v>82.9</v>
      </c>
    </row>
    <row r="54" spans="2:2" x14ac:dyDescent="0.2">
      <c r="B54" s="8">
        <v>73.5</v>
      </c>
    </row>
    <row r="55" spans="2:2" x14ac:dyDescent="0.2">
      <c r="B55" s="8">
        <v>74.599999999999994</v>
      </c>
    </row>
    <row r="56" spans="2:2" x14ac:dyDescent="0.2">
      <c r="B56" s="8">
        <v>75.099999999999994</v>
      </c>
    </row>
    <row r="57" spans="2:2" x14ac:dyDescent="0.2">
      <c r="B57" s="8">
        <v>85.1</v>
      </c>
    </row>
    <row r="58" spans="2:2" x14ac:dyDescent="0.2">
      <c r="B58" s="8">
        <v>74.900000000000006</v>
      </c>
    </row>
    <row r="59" spans="2:2" x14ac:dyDescent="0.2">
      <c r="B59" s="8">
        <v>84.6</v>
      </c>
    </row>
    <row r="60" spans="2:2" x14ac:dyDescent="0.2">
      <c r="B60" s="8">
        <v>81.7</v>
      </c>
    </row>
    <row r="61" spans="2:2" x14ac:dyDescent="0.2">
      <c r="B61" s="8">
        <v>81.400000000000006</v>
      </c>
    </row>
    <row r="62" spans="2:2" x14ac:dyDescent="0.2">
      <c r="B62" s="8">
        <v>83.8</v>
      </c>
    </row>
    <row r="63" spans="2:2" x14ac:dyDescent="0.2">
      <c r="B63" s="8">
        <v>88.5</v>
      </c>
    </row>
    <row r="64" spans="2:2" x14ac:dyDescent="0.2">
      <c r="B64" s="8">
        <v>84.9</v>
      </c>
    </row>
    <row r="65" spans="2:2" x14ac:dyDescent="0.2">
      <c r="B65" s="8">
        <v>84.3</v>
      </c>
    </row>
    <row r="66" spans="2:2" x14ac:dyDescent="0.2">
      <c r="B66" s="8">
        <v>78.2</v>
      </c>
    </row>
    <row r="67" spans="2:2" x14ac:dyDescent="0.2">
      <c r="B67" s="8">
        <v>80</v>
      </c>
    </row>
    <row r="68" spans="2:2" x14ac:dyDescent="0.2">
      <c r="B68" s="8">
        <v>74.8</v>
      </c>
    </row>
    <row r="69" spans="2:2" x14ac:dyDescent="0.2">
      <c r="B69" s="8">
        <v>78.5</v>
      </c>
    </row>
    <row r="70" spans="2:2" x14ac:dyDescent="0.2">
      <c r="B70" s="8">
        <v>71.8</v>
      </c>
    </row>
    <row r="71" spans="2:2" x14ac:dyDescent="0.2">
      <c r="B71" s="8">
        <v>69.900000000000006</v>
      </c>
    </row>
    <row r="72" spans="2:2" x14ac:dyDescent="0.2">
      <c r="B72" s="8">
        <v>82.7</v>
      </c>
    </row>
    <row r="73" spans="2:2" x14ac:dyDescent="0.2">
      <c r="B73" s="8">
        <v>74</v>
      </c>
    </row>
    <row r="74" spans="2:2" x14ac:dyDescent="0.2">
      <c r="B74" s="8">
        <v>84</v>
      </c>
    </row>
    <row r="75" spans="2:2" x14ac:dyDescent="0.2">
      <c r="B75" s="8">
        <v>84.7</v>
      </c>
    </row>
    <row r="76" spans="2:2" x14ac:dyDescent="0.2">
      <c r="B76" s="8">
        <v>78.2</v>
      </c>
    </row>
    <row r="77" spans="2:2" x14ac:dyDescent="0.2">
      <c r="B77" s="8">
        <v>85</v>
      </c>
    </row>
    <row r="78" spans="2:2" x14ac:dyDescent="0.2">
      <c r="B78" s="8">
        <v>80.099999999999994</v>
      </c>
    </row>
    <row r="79" spans="2:2" x14ac:dyDescent="0.2">
      <c r="B79" s="8">
        <v>85.3</v>
      </c>
    </row>
    <row r="80" spans="2:2" x14ac:dyDescent="0.2">
      <c r="B80" s="8">
        <v>79.7</v>
      </c>
    </row>
    <row r="81" spans="2:2" x14ac:dyDescent="0.2">
      <c r="B81" s="8">
        <v>79.599999999999994</v>
      </c>
    </row>
    <row r="82" spans="2:2" x14ac:dyDescent="0.2">
      <c r="B82" s="8">
        <v>78.900000000000006</v>
      </c>
    </row>
    <row r="83" spans="2:2" x14ac:dyDescent="0.2">
      <c r="B83" s="8">
        <v>78.5</v>
      </c>
    </row>
    <row r="84" spans="2:2" x14ac:dyDescent="0.2">
      <c r="B84" s="8">
        <v>72</v>
      </c>
    </row>
    <row r="85" spans="2:2" x14ac:dyDescent="0.2">
      <c r="B85" s="8">
        <v>74.2</v>
      </c>
    </row>
    <row r="86" spans="2:2" x14ac:dyDescent="0.2">
      <c r="B86" s="8">
        <v>71.7</v>
      </c>
    </row>
    <row r="87" spans="2:2" x14ac:dyDescent="0.2">
      <c r="B87" s="8">
        <v>80.7</v>
      </c>
    </row>
    <row r="88" spans="2:2" x14ac:dyDescent="0.2">
      <c r="B88" s="8">
        <v>84.1</v>
      </c>
    </row>
    <row r="89" spans="2:2" x14ac:dyDescent="0.2">
      <c r="B89" s="8">
        <v>87.4</v>
      </c>
    </row>
    <row r="90" spans="2:2" x14ac:dyDescent="0.2">
      <c r="B90" s="8">
        <v>77.400000000000006</v>
      </c>
    </row>
    <row r="91" spans="2:2" x14ac:dyDescent="0.2">
      <c r="B91" s="8">
        <v>84.7</v>
      </c>
    </row>
    <row r="92" spans="2:2" x14ac:dyDescent="0.2">
      <c r="B92" s="8">
        <v>78.8</v>
      </c>
    </row>
    <row r="93" spans="2:2" x14ac:dyDescent="0.2">
      <c r="B93" s="8">
        <v>92.7</v>
      </c>
    </row>
    <row r="94" spans="2:2" x14ac:dyDescent="0.2">
      <c r="B94" s="8">
        <v>88.8</v>
      </c>
    </row>
    <row r="95" spans="2:2" x14ac:dyDescent="0.2">
      <c r="B95" s="8">
        <v>86.6</v>
      </c>
    </row>
    <row r="96" spans="2:2" x14ac:dyDescent="0.2">
      <c r="B96" s="8">
        <v>77.900000000000006</v>
      </c>
    </row>
    <row r="97" spans="2:2" x14ac:dyDescent="0.2">
      <c r="B97" s="8">
        <v>86.1</v>
      </c>
    </row>
    <row r="98" spans="2:2" x14ac:dyDescent="0.2">
      <c r="B98" s="8">
        <v>89.9</v>
      </c>
    </row>
    <row r="99" spans="2:2" x14ac:dyDescent="0.2">
      <c r="B99" s="8">
        <v>83.1</v>
      </c>
    </row>
    <row r="100" spans="2:2" x14ac:dyDescent="0.2">
      <c r="B100" s="8">
        <v>82.6</v>
      </c>
    </row>
  </sheetData>
  <mergeCells count="2">
    <mergeCell ref="D5:E5"/>
    <mergeCell ref="G5:H5"/>
  </mergeCells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D4AAF-BB33-4729-8161-7C7E21596711}">
  <sheetPr codeName="Sheet25">
    <tabColor theme="5" tint="0.79998168889431442"/>
  </sheetPr>
  <dimension ref="B1:H100"/>
  <sheetViews>
    <sheetView showGridLines="0" workbookViewId="0">
      <selection activeCell="H7" sqref="H7"/>
    </sheetView>
  </sheetViews>
  <sheetFormatPr baseColWidth="10" defaultColWidth="8.83203125" defaultRowHeight="15" x14ac:dyDescent="0.2"/>
  <cols>
    <col min="1" max="1" width="2.83203125" customWidth="1"/>
    <col min="2" max="2" width="10.6640625" bestFit="1" customWidth="1"/>
    <col min="4" max="5" width="11.5" customWidth="1"/>
    <col min="7" max="7" width="20" customWidth="1"/>
  </cols>
  <sheetData>
    <row r="1" spans="2:8" ht="25.5" customHeight="1" x14ac:dyDescent="0.25">
      <c r="B1" s="18" t="s">
        <v>136</v>
      </c>
    </row>
    <row r="2" spans="2:8" ht="15" customHeight="1" x14ac:dyDescent="0.2">
      <c r="B2" s="30" t="s">
        <v>301</v>
      </c>
    </row>
    <row r="3" spans="2:8" ht="18" customHeight="1" x14ac:dyDescent="0.2"/>
    <row r="4" spans="2:8" x14ac:dyDescent="0.2">
      <c r="D4" s="3" t="s">
        <v>54</v>
      </c>
      <c r="G4" s="3" t="s">
        <v>54</v>
      </c>
    </row>
    <row r="5" spans="2:8" x14ac:dyDescent="0.2">
      <c r="B5" s="7" t="s">
        <v>77</v>
      </c>
      <c r="D5" s="115" t="s">
        <v>86</v>
      </c>
      <c r="E5" s="115"/>
      <c r="G5" s="115" t="s">
        <v>302</v>
      </c>
      <c r="H5" s="115"/>
    </row>
    <row r="6" spans="2:8" x14ac:dyDescent="0.2">
      <c r="B6" s="8">
        <v>90.2</v>
      </c>
      <c r="D6" s="20" t="s">
        <v>46</v>
      </c>
      <c r="E6" s="75">
        <f>AVERAGE(B6:B100)</f>
        <v>80.169473684210516</v>
      </c>
      <c r="G6" s="20" t="s">
        <v>115</v>
      </c>
      <c r="H6" s="82">
        <v>0.2</v>
      </c>
    </row>
    <row r="7" spans="2:8" x14ac:dyDescent="0.2">
      <c r="B7" s="8">
        <v>92.8</v>
      </c>
      <c r="D7" s="20" t="s">
        <v>70</v>
      </c>
      <c r="E7" s="75">
        <f>_xlfn.STDEV.S(B6:B100)</f>
        <v>6.1707800411122609</v>
      </c>
      <c r="G7" s="20" t="s">
        <v>90</v>
      </c>
      <c r="H7" s="70">
        <f>_xlfn.NORM.S.INV(H6)</f>
        <v>-0.84162123357291452</v>
      </c>
    </row>
    <row r="8" spans="2:8" x14ac:dyDescent="0.2">
      <c r="B8" s="8">
        <v>68.7</v>
      </c>
      <c r="G8" s="20"/>
      <c r="H8" s="29"/>
    </row>
    <row r="9" spans="2:8" x14ac:dyDescent="0.2">
      <c r="B9" s="8">
        <v>80.7</v>
      </c>
      <c r="D9" s="20"/>
      <c r="E9" s="29"/>
      <c r="G9" s="20"/>
      <c r="H9" s="29"/>
    </row>
    <row r="10" spans="2:8" x14ac:dyDescent="0.2">
      <c r="B10" s="8">
        <v>74.900000000000006</v>
      </c>
      <c r="D10" s="20"/>
      <c r="E10" s="29"/>
    </row>
    <row r="11" spans="2:8" x14ac:dyDescent="0.2">
      <c r="B11" s="8">
        <v>80.7</v>
      </c>
    </row>
    <row r="12" spans="2:8" x14ac:dyDescent="0.2">
      <c r="B12" s="8">
        <v>83.3</v>
      </c>
    </row>
    <row r="13" spans="2:8" x14ac:dyDescent="0.2">
      <c r="B13" s="8">
        <v>88.7</v>
      </c>
    </row>
    <row r="14" spans="2:8" x14ac:dyDescent="0.2">
      <c r="B14" s="8">
        <v>75.400000000000006</v>
      </c>
    </row>
    <row r="15" spans="2:8" x14ac:dyDescent="0.2">
      <c r="B15" s="8">
        <v>82.1</v>
      </c>
    </row>
    <row r="16" spans="2:8" x14ac:dyDescent="0.2">
      <c r="B16" s="8">
        <v>87.5</v>
      </c>
    </row>
    <row r="17" spans="2:2" x14ac:dyDescent="0.2">
      <c r="B17" s="8">
        <v>66.900000000000006</v>
      </c>
    </row>
    <row r="18" spans="2:2" x14ac:dyDescent="0.2">
      <c r="B18" s="8">
        <v>71.3</v>
      </c>
    </row>
    <row r="19" spans="2:2" x14ac:dyDescent="0.2">
      <c r="B19" s="8">
        <v>76.8</v>
      </c>
    </row>
    <row r="20" spans="2:2" x14ac:dyDescent="0.2">
      <c r="B20" s="8">
        <v>72.3</v>
      </c>
    </row>
    <row r="21" spans="2:2" x14ac:dyDescent="0.2">
      <c r="B21" s="8">
        <v>72.400000000000006</v>
      </c>
    </row>
    <row r="22" spans="2:2" x14ac:dyDescent="0.2">
      <c r="B22" s="8">
        <v>72</v>
      </c>
    </row>
    <row r="23" spans="2:2" x14ac:dyDescent="0.2">
      <c r="B23" s="8">
        <v>81</v>
      </c>
    </row>
    <row r="24" spans="2:2" x14ac:dyDescent="0.2">
      <c r="B24" s="8">
        <v>96.1</v>
      </c>
    </row>
    <row r="25" spans="2:2" x14ac:dyDescent="0.2">
      <c r="B25" s="8">
        <v>76.7</v>
      </c>
    </row>
    <row r="26" spans="2:2" x14ac:dyDescent="0.2">
      <c r="B26" s="8">
        <v>80.3</v>
      </c>
    </row>
    <row r="27" spans="2:2" x14ac:dyDescent="0.2">
      <c r="B27" s="8">
        <v>77.8</v>
      </c>
    </row>
    <row r="28" spans="2:2" x14ac:dyDescent="0.2">
      <c r="B28" s="8">
        <v>62.6</v>
      </c>
    </row>
    <row r="29" spans="2:2" x14ac:dyDescent="0.2">
      <c r="B29" s="8">
        <v>80.2</v>
      </c>
    </row>
    <row r="30" spans="2:2" x14ac:dyDescent="0.2">
      <c r="B30" s="8">
        <v>79.099999999999994</v>
      </c>
    </row>
    <row r="31" spans="2:2" x14ac:dyDescent="0.2">
      <c r="B31" s="8">
        <v>77.8</v>
      </c>
    </row>
    <row r="32" spans="2:2" x14ac:dyDescent="0.2">
      <c r="B32" s="8">
        <v>75.099999999999994</v>
      </c>
    </row>
    <row r="33" spans="2:2" x14ac:dyDescent="0.2">
      <c r="B33" s="8">
        <v>82.2</v>
      </c>
    </row>
    <row r="34" spans="2:2" x14ac:dyDescent="0.2">
      <c r="B34" s="8">
        <v>70.5</v>
      </c>
    </row>
    <row r="35" spans="2:2" x14ac:dyDescent="0.2">
      <c r="B35" s="8">
        <v>70.8</v>
      </c>
    </row>
    <row r="36" spans="2:2" x14ac:dyDescent="0.2">
      <c r="B36" s="8">
        <v>87.5</v>
      </c>
    </row>
    <row r="37" spans="2:2" x14ac:dyDescent="0.2">
      <c r="B37" s="8">
        <v>79.5</v>
      </c>
    </row>
    <row r="38" spans="2:2" x14ac:dyDescent="0.2">
      <c r="B38" s="8">
        <v>80.8</v>
      </c>
    </row>
    <row r="39" spans="2:2" x14ac:dyDescent="0.2">
      <c r="B39" s="8">
        <v>79.599999999999994</v>
      </c>
    </row>
    <row r="40" spans="2:2" x14ac:dyDescent="0.2">
      <c r="B40" s="8">
        <v>88.9</v>
      </c>
    </row>
    <row r="41" spans="2:2" x14ac:dyDescent="0.2">
      <c r="B41" s="8">
        <v>85.9</v>
      </c>
    </row>
    <row r="42" spans="2:2" x14ac:dyDescent="0.2">
      <c r="B42" s="8">
        <v>82.3</v>
      </c>
    </row>
    <row r="43" spans="2:2" x14ac:dyDescent="0.2">
      <c r="B43" s="8">
        <v>76.7</v>
      </c>
    </row>
    <row r="44" spans="2:2" x14ac:dyDescent="0.2">
      <c r="B44" s="8">
        <v>79.900000000000006</v>
      </c>
    </row>
    <row r="45" spans="2:2" x14ac:dyDescent="0.2">
      <c r="B45" s="8">
        <v>86.2</v>
      </c>
    </row>
    <row r="46" spans="2:2" x14ac:dyDescent="0.2">
      <c r="B46" s="8">
        <v>79.2</v>
      </c>
    </row>
    <row r="47" spans="2:2" x14ac:dyDescent="0.2">
      <c r="B47" s="8">
        <v>83.4</v>
      </c>
    </row>
    <row r="48" spans="2:2" x14ac:dyDescent="0.2">
      <c r="B48" s="8">
        <v>85.2</v>
      </c>
    </row>
    <row r="49" spans="2:2" x14ac:dyDescent="0.2">
      <c r="B49" s="8">
        <v>77.8</v>
      </c>
    </row>
    <row r="50" spans="2:2" x14ac:dyDescent="0.2">
      <c r="B50" s="8">
        <v>80.2</v>
      </c>
    </row>
    <row r="51" spans="2:2" x14ac:dyDescent="0.2">
      <c r="B51" s="8">
        <v>71</v>
      </c>
    </row>
    <row r="52" spans="2:2" x14ac:dyDescent="0.2">
      <c r="B52" s="8">
        <v>87.2</v>
      </c>
    </row>
    <row r="53" spans="2:2" x14ac:dyDescent="0.2">
      <c r="B53" s="8">
        <v>82.9</v>
      </c>
    </row>
    <row r="54" spans="2:2" x14ac:dyDescent="0.2">
      <c r="B54" s="8">
        <v>73.5</v>
      </c>
    </row>
    <row r="55" spans="2:2" x14ac:dyDescent="0.2">
      <c r="B55" s="8">
        <v>74.599999999999994</v>
      </c>
    </row>
    <row r="56" spans="2:2" x14ac:dyDescent="0.2">
      <c r="B56" s="8">
        <v>75.099999999999994</v>
      </c>
    </row>
    <row r="57" spans="2:2" x14ac:dyDescent="0.2">
      <c r="B57" s="8">
        <v>85.1</v>
      </c>
    </row>
    <row r="58" spans="2:2" x14ac:dyDescent="0.2">
      <c r="B58" s="8">
        <v>74.900000000000006</v>
      </c>
    </row>
    <row r="59" spans="2:2" x14ac:dyDescent="0.2">
      <c r="B59" s="8">
        <v>84.6</v>
      </c>
    </row>
    <row r="60" spans="2:2" x14ac:dyDescent="0.2">
      <c r="B60" s="8">
        <v>81.7</v>
      </c>
    </row>
    <row r="61" spans="2:2" x14ac:dyDescent="0.2">
      <c r="B61" s="8">
        <v>81.400000000000006</v>
      </c>
    </row>
    <row r="62" spans="2:2" x14ac:dyDescent="0.2">
      <c r="B62" s="8">
        <v>83.8</v>
      </c>
    </row>
    <row r="63" spans="2:2" x14ac:dyDescent="0.2">
      <c r="B63" s="8">
        <v>88.5</v>
      </c>
    </row>
    <row r="64" spans="2:2" x14ac:dyDescent="0.2">
      <c r="B64" s="8">
        <v>84.9</v>
      </c>
    </row>
    <row r="65" spans="2:2" x14ac:dyDescent="0.2">
      <c r="B65" s="8">
        <v>84.3</v>
      </c>
    </row>
    <row r="66" spans="2:2" x14ac:dyDescent="0.2">
      <c r="B66" s="8">
        <v>78.2</v>
      </c>
    </row>
    <row r="67" spans="2:2" x14ac:dyDescent="0.2">
      <c r="B67" s="8">
        <v>80</v>
      </c>
    </row>
    <row r="68" spans="2:2" x14ac:dyDescent="0.2">
      <c r="B68" s="8">
        <v>74.8</v>
      </c>
    </row>
    <row r="69" spans="2:2" x14ac:dyDescent="0.2">
      <c r="B69" s="8">
        <v>78.5</v>
      </c>
    </row>
    <row r="70" spans="2:2" x14ac:dyDescent="0.2">
      <c r="B70" s="8">
        <v>71.8</v>
      </c>
    </row>
    <row r="71" spans="2:2" x14ac:dyDescent="0.2">
      <c r="B71" s="8">
        <v>69.900000000000006</v>
      </c>
    </row>
    <row r="72" spans="2:2" x14ac:dyDescent="0.2">
      <c r="B72" s="8">
        <v>82.7</v>
      </c>
    </row>
    <row r="73" spans="2:2" x14ac:dyDescent="0.2">
      <c r="B73" s="8">
        <v>74</v>
      </c>
    </row>
    <row r="74" spans="2:2" x14ac:dyDescent="0.2">
      <c r="B74" s="8">
        <v>84</v>
      </c>
    </row>
    <row r="75" spans="2:2" x14ac:dyDescent="0.2">
      <c r="B75" s="8">
        <v>84.7</v>
      </c>
    </row>
    <row r="76" spans="2:2" x14ac:dyDescent="0.2">
      <c r="B76" s="8">
        <v>78.2</v>
      </c>
    </row>
    <row r="77" spans="2:2" x14ac:dyDescent="0.2">
      <c r="B77" s="8">
        <v>85</v>
      </c>
    </row>
    <row r="78" spans="2:2" x14ac:dyDescent="0.2">
      <c r="B78" s="8">
        <v>80.099999999999994</v>
      </c>
    </row>
    <row r="79" spans="2:2" x14ac:dyDescent="0.2">
      <c r="B79" s="8">
        <v>85.3</v>
      </c>
    </row>
    <row r="80" spans="2:2" x14ac:dyDescent="0.2">
      <c r="B80" s="8">
        <v>79.7</v>
      </c>
    </row>
    <row r="81" spans="2:2" x14ac:dyDescent="0.2">
      <c r="B81" s="8">
        <v>79.599999999999994</v>
      </c>
    </row>
    <row r="82" spans="2:2" x14ac:dyDescent="0.2">
      <c r="B82" s="8">
        <v>78.900000000000006</v>
      </c>
    </row>
    <row r="83" spans="2:2" x14ac:dyDescent="0.2">
      <c r="B83" s="8">
        <v>78.5</v>
      </c>
    </row>
    <row r="84" spans="2:2" x14ac:dyDescent="0.2">
      <c r="B84" s="8">
        <v>72</v>
      </c>
    </row>
    <row r="85" spans="2:2" x14ac:dyDescent="0.2">
      <c r="B85" s="8">
        <v>74.2</v>
      </c>
    </row>
    <row r="86" spans="2:2" x14ac:dyDescent="0.2">
      <c r="B86" s="8">
        <v>71.7</v>
      </c>
    </row>
    <row r="87" spans="2:2" x14ac:dyDescent="0.2">
      <c r="B87" s="8">
        <v>80.7</v>
      </c>
    </row>
    <row r="88" spans="2:2" x14ac:dyDescent="0.2">
      <c r="B88" s="8">
        <v>84.1</v>
      </c>
    </row>
    <row r="89" spans="2:2" x14ac:dyDescent="0.2">
      <c r="B89" s="8">
        <v>87.4</v>
      </c>
    </row>
    <row r="90" spans="2:2" x14ac:dyDescent="0.2">
      <c r="B90" s="8">
        <v>77.400000000000006</v>
      </c>
    </row>
    <row r="91" spans="2:2" x14ac:dyDescent="0.2">
      <c r="B91" s="8">
        <v>84.7</v>
      </c>
    </row>
    <row r="92" spans="2:2" x14ac:dyDescent="0.2">
      <c r="B92" s="8">
        <v>78.8</v>
      </c>
    </row>
    <row r="93" spans="2:2" x14ac:dyDescent="0.2">
      <c r="B93" s="8">
        <v>92.7</v>
      </c>
    </row>
    <row r="94" spans="2:2" x14ac:dyDescent="0.2">
      <c r="B94" s="8">
        <v>88.8</v>
      </c>
    </row>
    <row r="95" spans="2:2" x14ac:dyDescent="0.2">
      <c r="B95" s="8">
        <v>86.6</v>
      </c>
    </row>
    <row r="96" spans="2:2" x14ac:dyDescent="0.2">
      <c r="B96" s="8">
        <v>77.900000000000006</v>
      </c>
    </row>
    <row r="97" spans="2:2" x14ac:dyDescent="0.2">
      <c r="B97" s="8">
        <v>86.1</v>
      </c>
    </row>
    <row r="98" spans="2:2" x14ac:dyDescent="0.2">
      <c r="B98" s="8">
        <v>89.9</v>
      </c>
    </row>
    <row r="99" spans="2:2" x14ac:dyDescent="0.2">
      <c r="B99" s="8">
        <v>83.1</v>
      </c>
    </row>
    <row r="100" spans="2:2" x14ac:dyDescent="0.2">
      <c r="B100" s="8">
        <v>82.6</v>
      </c>
    </row>
  </sheetData>
  <mergeCells count="2">
    <mergeCell ref="D5:E5"/>
    <mergeCell ref="G5:H5"/>
  </mergeCells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06139-4863-4DA6-9AD6-D7192B0FABC0}">
  <sheetPr codeName="Sheet26">
    <tabColor theme="5" tint="0.59999389629810485"/>
  </sheetPr>
  <dimension ref="B1:H100"/>
  <sheetViews>
    <sheetView showGridLines="0" workbookViewId="0">
      <selection activeCell="H7" sqref="H7"/>
    </sheetView>
  </sheetViews>
  <sheetFormatPr baseColWidth="10" defaultColWidth="8.83203125" defaultRowHeight="15" x14ac:dyDescent="0.2"/>
  <cols>
    <col min="1" max="1" width="2.83203125" customWidth="1"/>
    <col min="2" max="2" width="10.6640625" bestFit="1" customWidth="1"/>
    <col min="4" max="5" width="11.5" customWidth="1"/>
    <col min="7" max="7" width="14.33203125" customWidth="1"/>
  </cols>
  <sheetData>
    <row r="1" spans="2:8" ht="25.5" customHeight="1" x14ac:dyDescent="0.25">
      <c r="B1" s="18" t="s">
        <v>137</v>
      </c>
    </row>
    <row r="2" spans="2:8" ht="15" customHeight="1" x14ac:dyDescent="0.2">
      <c r="B2" s="30" t="s">
        <v>303</v>
      </c>
    </row>
    <row r="3" spans="2:8" ht="18" customHeight="1" x14ac:dyDescent="0.2"/>
    <row r="4" spans="2:8" x14ac:dyDescent="0.2">
      <c r="D4" s="3" t="s">
        <v>54</v>
      </c>
      <c r="G4" s="3" t="s">
        <v>54</v>
      </c>
    </row>
    <row r="5" spans="2:8" x14ac:dyDescent="0.2">
      <c r="B5" s="7" t="s">
        <v>77</v>
      </c>
      <c r="D5" s="115" t="s">
        <v>86</v>
      </c>
      <c r="E5" s="115"/>
      <c r="G5" s="115" t="s">
        <v>299</v>
      </c>
      <c r="H5" s="115"/>
    </row>
    <row r="6" spans="2:8" x14ac:dyDescent="0.2">
      <c r="B6" s="8">
        <v>90.2</v>
      </c>
      <c r="D6" s="20" t="s">
        <v>46</v>
      </c>
      <c r="E6" s="75">
        <f>AVERAGE(B6:B100)</f>
        <v>80.169473684210516</v>
      </c>
      <c r="G6" s="20" t="s">
        <v>115</v>
      </c>
      <c r="H6" s="82">
        <v>0.9</v>
      </c>
    </row>
    <row r="7" spans="2:8" x14ac:dyDescent="0.2">
      <c r="B7" s="8">
        <v>92.8</v>
      </c>
      <c r="D7" s="20" t="s">
        <v>70</v>
      </c>
      <c r="E7" s="75">
        <f>_xlfn.STDEV.S(B6:B100)</f>
        <v>6.1707800411122609</v>
      </c>
      <c r="G7" s="20" t="s">
        <v>116</v>
      </c>
      <c r="H7" s="83">
        <f>_xlfn.NORM.INV(H6,E6,E7)</f>
        <v>88.077646506529305</v>
      </c>
    </row>
    <row r="8" spans="2:8" x14ac:dyDescent="0.2">
      <c r="B8" s="8">
        <v>68.7</v>
      </c>
      <c r="G8" s="20" t="s">
        <v>90</v>
      </c>
      <c r="H8" s="84">
        <f>_xlfn.NORM.S.INV(H6)</f>
        <v>1.2815515655446006</v>
      </c>
    </row>
    <row r="9" spans="2:8" x14ac:dyDescent="0.2">
      <c r="B9" s="8">
        <v>80.7</v>
      </c>
    </row>
    <row r="10" spans="2:8" x14ac:dyDescent="0.2">
      <c r="B10" s="8">
        <v>74.900000000000006</v>
      </c>
    </row>
    <row r="11" spans="2:8" x14ac:dyDescent="0.2">
      <c r="B11" s="8">
        <v>80.7</v>
      </c>
    </row>
    <row r="12" spans="2:8" x14ac:dyDescent="0.2">
      <c r="B12" s="8">
        <v>83.3</v>
      </c>
    </row>
    <row r="13" spans="2:8" x14ac:dyDescent="0.2">
      <c r="B13" s="8">
        <v>88.7</v>
      </c>
    </row>
    <row r="14" spans="2:8" x14ac:dyDescent="0.2">
      <c r="B14" s="8">
        <v>75.400000000000006</v>
      </c>
    </row>
    <row r="15" spans="2:8" x14ac:dyDescent="0.2">
      <c r="B15" s="8">
        <v>82.1</v>
      </c>
    </row>
    <row r="16" spans="2:8" x14ac:dyDescent="0.2">
      <c r="B16" s="8">
        <v>87.5</v>
      </c>
    </row>
    <row r="17" spans="2:2" x14ac:dyDescent="0.2">
      <c r="B17" s="8">
        <v>66.900000000000006</v>
      </c>
    </row>
    <row r="18" spans="2:2" x14ac:dyDescent="0.2">
      <c r="B18" s="8">
        <v>71.3</v>
      </c>
    </row>
    <row r="19" spans="2:2" x14ac:dyDescent="0.2">
      <c r="B19" s="8">
        <v>76.8</v>
      </c>
    </row>
    <row r="20" spans="2:2" x14ac:dyDescent="0.2">
      <c r="B20" s="8">
        <v>72.3</v>
      </c>
    </row>
    <row r="21" spans="2:2" x14ac:dyDescent="0.2">
      <c r="B21" s="8">
        <v>72.400000000000006</v>
      </c>
    </row>
    <row r="22" spans="2:2" x14ac:dyDescent="0.2">
      <c r="B22" s="8">
        <v>72</v>
      </c>
    </row>
    <row r="23" spans="2:2" x14ac:dyDescent="0.2">
      <c r="B23" s="8">
        <v>81</v>
      </c>
    </row>
    <row r="24" spans="2:2" x14ac:dyDescent="0.2">
      <c r="B24" s="8">
        <v>96.1</v>
      </c>
    </row>
    <row r="25" spans="2:2" x14ac:dyDescent="0.2">
      <c r="B25" s="8">
        <v>76.7</v>
      </c>
    </row>
    <row r="26" spans="2:2" x14ac:dyDescent="0.2">
      <c r="B26" s="8">
        <v>80.3</v>
      </c>
    </row>
    <row r="27" spans="2:2" x14ac:dyDescent="0.2">
      <c r="B27" s="8">
        <v>77.8</v>
      </c>
    </row>
    <row r="28" spans="2:2" x14ac:dyDescent="0.2">
      <c r="B28" s="8">
        <v>62.6</v>
      </c>
    </row>
    <row r="29" spans="2:2" x14ac:dyDescent="0.2">
      <c r="B29" s="8">
        <v>80.2</v>
      </c>
    </row>
    <row r="30" spans="2:2" x14ac:dyDescent="0.2">
      <c r="B30" s="8">
        <v>79.099999999999994</v>
      </c>
    </row>
    <row r="31" spans="2:2" x14ac:dyDescent="0.2">
      <c r="B31" s="8">
        <v>77.8</v>
      </c>
    </row>
    <row r="32" spans="2:2" x14ac:dyDescent="0.2">
      <c r="B32" s="8">
        <v>75.099999999999994</v>
      </c>
    </row>
    <row r="33" spans="2:2" x14ac:dyDescent="0.2">
      <c r="B33" s="8">
        <v>82.2</v>
      </c>
    </row>
    <row r="34" spans="2:2" x14ac:dyDescent="0.2">
      <c r="B34" s="8">
        <v>70.5</v>
      </c>
    </row>
    <row r="35" spans="2:2" x14ac:dyDescent="0.2">
      <c r="B35" s="8">
        <v>70.8</v>
      </c>
    </row>
    <row r="36" spans="2:2" x14ac:dyDescent="0.2">
      <c r="B36" s="8">
        <v>87.5</v>
      </c>
    </row>
    <row r="37" spans="2:2" x14ac:dyDescent="0.2">
      <c r="B37" s="8">
        <v>79.5</v>
      </c>
    </row>
    <row r="38" spans="2:2" x14ac:dyDescent="0.2">
      <c r="B38" s="8">
        <v>80.8</v>
      </c>
    </row>
    <row r="39" spans="2:2" x14ac:dyDescent="0.2">
      <c r="B39" s="8">
        <v>79.599999999999994</v>
      </c>
    </row>
    <row r="40" spans="2:2" x14ac:dyDescent="0.2">
      <c r="B40" s="8">
        <v>88.9</v>
      </c>
    </row>
    <row r="41" spans="2:2" x14ac:dyDescent="0.2">
      <c r="B41" s="8">
        <v>85.9</v>
      </c>
    </row>
    <row r="42" spans="2:2" x14ac:dyDescent="0.2">
      <c r="B42" s="8">
        <v>82.3</v>
      </c>
    </row>
    <row r="43" spans="2:2" x14ac:dyDescent="0.2">
      <c r="B43" s="8">
        <v>76.7</v>
      </c>
    </row>
    <row r="44" spans="2:2" x14ac:dyDescent="0.2">
      <c r="B44" s="8">
        <v>79.900000000000006</v>
      </c>
    </row>
    <row r="45" spans="2:2" x14ac:dyDescent="0.2">
      <c r="B45" s="8">
        <v>86.2</v>
      </c>
    </row>
    <row r="46" spans="2:2" x14ac:dyDescent="0.2">
      <c r="B46" s="8">
        <v>79.2</v>
      </c>
    </row>
    <row r="47" spans="2:2" x14ac:dyDescent="0.2">
      <c r="B47" s="8">
        <v>83.4</v>
      </c>
    </row>
    <row r="48" spans="2:2" x14ac:dyDescent="0.2">
      <c r="B48" s="8">
        <v>85.2</v>
      </c>
    </row>
    <row r="49" spans="2:2" x14ac:dyDescent="0.2">
      <c r="B49" s="8">
        <v>77.8</v>
      </c>
    </row>
    <row r="50" spans="2:2" x14ac:dyDescent="0.2">
      <c r="B50" s="8">
        <v>80.2</v>
      </c>
    </row>
    <row r="51" spans="2:2" x14ac:dyDescent="0.2">
      <c r="B51" s="8">
        <v>71</v>
      </c>
    </row>
    <row r="52" spans="2:2" x14ac:dyDescent="0.2">
      <c r="B52" s="8">
        <v>87.2</v>
      </c>
    </row>
    <row r="53" spans="2:2" x14ac:dyDescent="0.2">
      <c r="B53" s="8">
        <v>82.9</v>
      </c>
    </row>
    <row r="54" spans="2:2" x14ac:dyDescent="0.2">
      <c r="B54" s="8">
        <v>73.5</v>
      </c>
    </row>
    <row r="55" spans="2:2" x14ac:dyDescent="0.2">
      <c r="B55" s="8">
        <v>74.599999999999994</v>
      </c>
    </row>
    <row r="56" spans="2:2" x14ac:dyDescent="0.2">
      <c r="B56" s="8">
        <v>75.099999999999994</v>
      </c>
    </row>
    <row r="57" spans="2:2" x14ac:dyDescent="0.2">
      <c r="B57" s="8">
        <v>85.1</v>
      </c>
    </row>
    <row r="58" spans="2:2" x14ac:dyDescent="0.2">
      <c r="B58" s="8">
        <v>74.900000000000006</v>
      </c>
    </row>
    <row r="59" spans="2:2" x14ac:dyDescent="0.2">
      <c r="B59" s="8">
        <v>84.6</v>
      </c>
    </row>
    <row r="60" spans="2:2" x14ac:dyDescent="0.2">
      <c r="B60" s="8">
        <v>81.7</v>
      </c>
    </row>
    <row r="61" spans="2:2" x14ac:dyDescent="0.2">
      <c r="B61" s="8">
        <v>81.400000000000006</v>
      </c>
    </row>
    <row r="62" spans="2:2" x14ac:dyDescent="0.2">
      <c r="B62" s="8">
        <v>83.8</v>
      </c>
    </row>
    <row r="63" spans="2:2" x14ac:dyDescent="0.2">
      <c r="B63" s="8">
        <v>88.5</v>
      </c>
    </row>
    <row r="64" spans="2:2" x14ac:dyDescent="0.2">
      <c r="B64" s="8">
        <v>84.9</v>
      </c>
    </row>
    <row r="65" spans="2:2" x14ac:dyDescent="0.2">
      <c r="B65" s="8">
        <v>84.3</v>
      </c>
    </row>
    <row r="66" spans="2:2" x14ac:dyDescent="0.2">
      <c r="B66" s="8">
        <v>78.2</v>
      </c>
    </row>
    <row r="67" spans="2:2" x14ac:dyDescent="0.2">
      <c r="B67" s="8">
        <v>80</v>
      </c>
    </row>
    <row r="68" spans="2:2" x14ac:dyDescent="0.2">
      <c r="B68" s="8">
        <v>74.8</v>
      </c>
    </row>
    <row r="69" spans="2:2" x14ac:dyDescent="0.2">
      <c r="B69" s="8">
        <v>78.5</v>
      </c>
    </row>
    <row r="70" spans="2:2" x14ac:dyDescent="0.2">
      <c r="B70" s="8">
        <v>71.8</v>
      </c>
    </row>
    <row r="71" spans="2:2" x14ac:dyDescent="0.2">
      <c r="B71" s="8">
        <v>69.900000000000006</v>
      </c>
    </row>
    <row r="72" spans="2:2" x14ac:dyDescent="0.2">
      <c r="B72" s="8">
        <v>82.7</v>
      </c>
    </row>
    <row r="73" spans="2:2" x14ac:dyDescent="0.2">
      <c r="B73" s="8">
        <v>74</v>
      </c>
    </row>
    <row r="74" spans="2:2" x14ac:dyDescent="0.2">
      <c r="B74" s="8">
        <v>84</v>
      </c>
    </row>
    <row r="75" spans="2:2" x14ac:dyDescent="0.2">
      <c r="B75" s="8">
        <v>84.7</v>
      </c>
    </row>
    <row r="76" spans="2:2" x14ac:dyDescent="0.2">
      <c r="B76" s="8">
        <v>78.2</v>
      </c>
    </row>
    <row r="77" spans="2:2" x14ac:dyDescent="0.2">
      <c r="B77" s="8">
        <v>85</v>
      </c>
    </row>
    <row r="78" spans="2:2" x14ac:dyDescent="0.2">
      <c r="B78" s="8">
        <v>80.099999999999994</v>
      </c>
    </row>
    <row r="79" spans="2:2" x14ac:dyDescent="0.2">
      <c r="B79" s="8">
        <v>85.3</v>
      </c>
    </row>
    <row r="80" spans="2:2" x14ac:dyDescent="0.2">
      <c r="B80" s="8">
        <v>79.7</v>
      </c>
    </row>
    <row r="81" spans="2:2" x14ac:dyDescent="0.2">
      <c r="B81" s="8">
        <v>79.599999999999994</v>
      </c>
    </row>
    <row r="82" spans="2:2" x14ac:dyDescent="0.2">
      <c r="B82" s="8">
        <v>78.900000000000006</v>
      </c>
    </row>
    <row r="83" spans="2:2" x14ac:dyDescent="0.2">
      <c r="B83" s="8">
        <v>78.5</v>
      </c>
    </row>
    <row r="84" spans="2:2" x14ac:dyDescent="0.2">
      <c r="B84" s="8">
        <v>72</v>
      </c>
    </row>
    <row r="85" spans="2:2" x14ac:dyDescent="0.2">
      <c r="B85" s="8">
        <v>74.2</v>
      </c>
    </row>
    <row r="86" spans="2:2" x14ac:dyDescent="0.2">
      <c r="B86" s="8">
        <v>71.7</v>
      </c>
    </row>
    <row r="87" spans="2:2" x14ac:dyDescent="0.2">
      <c r="B87" s="8">
        <v>80.7</v>
      </c>
    </row>
    <row r="88" spans="2:2" x14ac:dyDescent="0.2">
      <c r="B88" s="8">
        <v>84.1</v>
      </c>
    </row>
    <row r="89" spans="2:2" x14ac:dyDescent="0.2">
      <c r="B89" s="8">
        <v>87.4</v>
      </c>
    </row>
    <row r="90" spans="2:2" x14ac:dyDescent="0.2">
      <c r="B90" s="8">
        <v>77.400000000000006</v>
      </c>
    </row>
    <row r="91" spans="2:2" x14ac:dyDescent="0.2">
      <c r="B91" s="8">
        <v>84.7</v>
      </c>
    </row>
    <row r="92" spans="2:2" x14ac:dyDescent="0.2">
      <c r="B92" s="8">
        <v>78.8</v>
      </c>
    </row>
    <row r="93" spans="2:2" x14ac:dyDescent="0.2">
      <c r="B93" s="8">
        <v>92.7</v>
      </c>
    </row>
    <row r="94" spans="2:2" x14ac:dyDescent="0.2">
      <c r="B94" s="8">
        <v>88.8</v>
      </c>
    </row>
    <row r="95" spans="2:2" x14ac:dyDescent="0.2">
      <c r="B95" s="8">
        <v>86.6</v>
      </c>
    </row>
    <row r="96" spans="2:2" x14ac:dyDescent="0.2">
      <c r="B96" s="8">
        <v>77.900000000000006</v>
      </c>
    </row>
    <row r="97" spans="2:2" x14ac:dyDescent="0.2">
      <c r="B97" s="8">
        <v>86.1</v>
      </c>
    </row>
    <row r="98" spans="2:2" x14ac:dyDescent="0.2">
      <c r="B98" s="8">
        <v>89.9</v>
      </c>
    </row>
    <row r="99" spans="2:2" x14ac:dyDescent="0.2">
      <c r="B99" s="8">
        <v>83.1</v>
      </c>
    </row>
    <row r="100" spans="2:2" x14ac:dyDescent="0.2">
      <c r="B100" s="8">
        <v>82.6</v>
      </c>
    </row>
  </sheetData>
  <mergeCells count="2">
    <mergeCell ref="D5:E5"/>
    <mergeCell ref="G5:H5"/>
  </mergeCells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0A3AC-2677-494D-A75F-C45C685E047A}">
  <sheetPr codeName="Sheet27">
    <tabColor theme="9" tint="0.79998168889431442"/>
  </sheetPr>
  <dimension ref="B1:K100"/>
  <sheetViews>
    <sheetView showGridLines="0" workbookViewId="0">
      <selection activeCell="H8" sqref="H8"/>
    </sheetView>
  </sheetViews>
  <sheetFormatPr baseColWidth="10" defaultColWidth="8.83203125" defaultRowHeight="15" x14ac:dyDescent="0.2"/>
  <cols>
    <col min="1" max="1" width="2.83203125" customWidth="1"/>
    <col min="2" max="2" width="19.33203125" bestFit="1" customWidth="1"/>
    <col min="4" max="4" width="12.1640625" customWidth="1"/>
    <col min="5" max="5" width="11.5" customWidth="1"/>
    <col min="7" max="7" width="20" customWidth="1"/>
    <col min="8" max="8" width="9.5" bestFit="1" customWidth="1"/>
    <col min="10" max="10" width="14.33203125" customWidth="1"/>
    <col min="11" max="11" width="11.5" customWidth="1"/>
  </cols>
  <sheetData>
    <row r="1" spans="2:11" ht="25.5" customHeight="1" x14ac:dyDescent="0.25">
      <c r="B1" s="18" t="s">
        <v>145</v>
      </c>
    </row>
    <row r="2" spans="2:11" ht="15" customHeight="1" x14ac:dyDescent="0.2">
      <c r="B2" s="30" t="s">
        <v>153</v>
      </c>
    </row>
    <row r="3" spans="2:11" ht="18" customHeight="1" x14ac:dyDescent="0.2"/>
    <row r="4" spans="2:11" x14ac:dyDescent="0.2">
      <c r="D4" s="3" t="s">
        <v>54</v>
      </c>
      <c r="G4" s="3" t="s">
        <v>54</v>
      </c>
      <c r="J4" s="3" t="s">
        <v>54</v>
      </c>
    </row>
    <row r="5" spans="2:11" x14ac:dyDescent="0.2">
      <c r="B5" s="7" t="s">
        <v>23</v>
      </c>
      <c r="D5" s="115" t="s">
        <v>139</v>
      </c>
      <c r="E5" s="115"/>
      <c r="G5" s="115" t="s">
        <v>141</v>
      </c>
      <c r="H5" s="115"/>
      <c r="J5" s="115" t="s">
        <v>147</v>
      </c>
      <c r="K5" s="115"/>
    </row>
    <row r="6" spans="2:11" x14ac:dyDescent="0.2">
      <c r="B6" s="8">
        <v>276</v>
      </c>
      <c r="D6" s="20" t="s">
        <v>71</v>
      </c>
      <c r="E6" s="71">
        <f>COUNT(B6:B100)</f>
        <v>95</v>
      </c>
      <c r="G6" s="20" t="s">
        <v>142</v>
      </c>
      <c r="H6" s="82">
        <v>0.9</v>
      </c>
      <c r="J6" s="20" t="s">
        <v>148</v>
      </c>
      <c r="K6" s="75">
        <f>E7-H11</f>
        <v>274.159110498644</v>
      </c>
    </row>
    <row r="7" spans="2:11" x14ac:dyDescent="0.2">
      <c r="B7" s="8">
        <v>410</v>
      </c>
      <c r="D7" s="20" t="s">
        <v>46</v>
      </c>
      <c r="E7" s="72">
        <f>AVERAGE(B6:B100)</f>
        <v>289.34736842105264</v>
      </c>
      <c r="G7" s="20" t="s">
        <v>143</v>
      </c>
      <c r="H7" s="82">
        <f>1-H6</f>
        <v>9.9999999999999978E-2</v>
      </c>
      <c r="J7" s="20" t="s">
        <v>149</v>
      </c>
      <c r="K7" s="75">
        <f>E7+H11</f>
        <v>304.53562634346127</v>
      </c>
    </row>
    <row r="8" spans="2:11" x14ac:dyDescent="0.2">
      <c r="B8" s="8">
        <v>119</v>
      </c>
      <c r="G8" s="20" t="s">
        <v>144</v>
      </c>
      <c r="H8" s="85">
        <f>H7/2</f>
        <v>4.9999999999999989E-2</v>
      </c>
    </row>
    <row r="9" spans="2:11" x14ac:dyDescent="0.2">
      <c r="B9" s="8">
        <v>334</v>
      </c>
      <c r="D9" s="115" t="s">
        <v>140</v>
      </c>
      <c r="E9" s="115"/>
      <c r="G9" s="20" t="s">
        <v>152</v>
      </c>
      <c r="H9" s="86">
        <f>_xlfn.NORM.S.INV(1-H8)</f>
        <v>1.6448536269514715</v>
      </c>
    </row>
    <row r="10" spans="2:11" x14ac:dyDescent="0.2">
      <c r="B10" s="8">
        <v>252</v>
      </c>
      <c r="D10" s="20" t="s">
        <v>70</v>
      </c>
      <c r="E10" s="71">
        <v>90</v>
      </c>
      <c r="G10" s="20" t="s">
        <v>146</v>
      </c>
      <c r="H10" s="75">
        <f>E10/SQRT(E6)</f>
        <v>9.2338051687663878</v>
      </c>
    </row>
    <row r="11" spans="2:11" x14ac:dyDescent="0.2">
      <c r="B11" s="8">
        <v>209</v>
      </c>
      <c r="D11" s="20"/>
      <c r="E11" s="1"/>
      <c r="G11" s="20" t="s">
        <v>150</v>
      </c>
      <c r="H11" s="75">
        <f>_xlfn.CONFIDENCE.NORM(H7,E10,E6)</f>
        <v>15.188257922408638</v>
      </c>
    </row>
    <row r="12" spans="2:11" x14ac:dyDescent="0.2">
      <c r="B12" s="8">
        <v>462</v>
      </c>
    </row>
    <row r="13" spans="2:11" x14ac:dyDescent="0.2">
      <c r="B13" s="8">
        <v>342</v>
      </c>
    </row>
    <row r="14" spans="2:11" x14ac:dyDescent="0.2">
      <c r="B14" s="8">
        <v>347</v>
      </c>
    </row>
    <row r="15" spans="2:11" x14ac:dyDescent="0.2">
      <c r="B15" s="8">
        <v>313</v>
      </c>
    </row>
    <row r="16" spans="2:11" x14ac:dyDescent="0.2">
      <c r="B16" s="8">
        <v>232</v>
      </c>
    </row>
    <row r="17" spans="2:2" x14ac:dyDescent="0.2">
      <c r="B17" s="8">
        <v>163</v>
      </c>
    </row>
    <row r="18" spans="2:2" x14ac:dyDescent="0.2">
      <c r="B18" s="8">
        <v>119</v>
      </c>
    </row>
    <row r="19" spans="2:2" x14ac:dyDescent="0.2">
      <c r="B19" s="8">
        <v>304</v>
      </c>
    </row>
    <row r="20" spans="2:2" x14ac:dyDescent="0.2">
      <c r="B20" s="8">
        <v>211</v>
      </c>
    </row>
    <row r="21" spans="2:2" x14ac:dyDescent="0.2">
      <c r="B21" s="8">
        <v>286</v>
      </c>
    </row>
    <row r="22" spans="2:2" x14ac:dyDescent="0.2">
      <c r="B22" s="8">
        <v>122</v>
      </c>
    </row>
    <row r="23" spans="2:2" x14ac:dyDescent="0.2">
      <c r="B23" s="8">
        <v>443</v>
      </c>
    </row>
    <row r="24" spans="2:2" x14ac:dyDescent="0.2">
      <c r="B24" s="8">
        <v>366</v>
      </c>
    </row>
    <row r="25" spans="2:2" x14ac:dyDescent="0.2">
      <c r="B25" s="8">
        <v>244</v>
      </c>
    </row>
    <row r="26" spans="2:2" x14ac:dyDescent="0.2">
      <c r="B26" s="8">
        <v>241</v>
      </c>
    </row>
    <row r="27" spans="2:2" x14ac:dyDescent="0.2">
      <c r="B27" s="8">
        <v>237</v>
      </c>
    </row>
    <row r="28" spans="2:2" x14ac:dyDescent="0.2">
      <c r="B28" s="8">
        <v>122</v>
      </c>
    </row>
    <row r="29" spans="2:2" x14ac:dyDescent="0.2">
      <c r="B29" s="8">
        <v>129</v>
      </c>
    </row>
    <row r="30" spans="2:2" x14ac:dyDescent="0.2">
      <c r="B30" s="8">
        <v>236</v>
      </c>
    </row>
    <row r="31" spans="2:2" x14ac:dyDescent="0.2">
      <c r="B31" s="8">
        <v>251</v>
      </c>
    </row>
    <row r="32" spans="2:2" x14ac:dyDescent="0.2">
      <c r="B32" s="8">
        <v>283</v>
      </c>
    </row>
    <row r="33" spans="2:2" x14ac:dyDescent="0.2">
      <c r="B33" s="8">
        <v>225</v>
      </c>
    </row>
    <row r="34" spans="2:2" x14ac:dyDescent="0.2">
      <c r="B34" s="8">
        <v>102</v>
      </c>
    </row>
    <row r="35" spans="2:2" x14ac:dyDescent="0.2">
      <c r="B35" s="8">
        <v>180</v>
      </c>
    </row>
    <row r="36" spans="2:2" x14ac:dyDescent="0.2">
      <c r="B36" s="8">
        <v>247</v>
      </c>
    </row>
    <row r="37" spans="2:2" x14ac:dyDescent="0.2">
      <c r="B37" s="8">
        <v>343</v>
      </c>
    </row>
    <row r="38" spans="2:2" x14ac:dyDescent="0.2">
      <c r="B38" s="8">
        <v>283</v>
      </c>
    </row>
    <row r="39" spans="2:2" x14ac:dyDescent="0.2">
      <c r="B39" s="8">
        <v>253</v>
      </c>
    </row>
    <row r="40" spans="2:2" x14ac:dyDescent="0.2">
      <c r="B40" s="8">
        <v>263</v>
      </c>
    </row>
    <row r="41" spans="2:2" x14ac:dyDescent="0.2">
      <c r="B41" s="8">
        <v>291</v>
      </c>
    </row>
    <row r="42" spans="2:2" x14ac:dyDescent="0.2">
      <c r="B42" s="8">
        <v>368</v>
      </c>
    </row>
    <row r="43" spans="2:2" x14ac:dyDescent="0.2">
      <c r="B43" s="8">
        <v>206</v>
      </c>
    </row>
    <row r="44" spans="2:2" x14ac:dyDescent="0.2">
      <c r="B44" s="8">
        <v>231</v>
      </c>
    </row>
    <row r="45" spans="2:2" x14ac:dyDescent="0.2">
      <c r="B45" s="8">
        <v>389</v>
      </c>
    </row>
    <row r="46" spans="2:2" x14ac:dyDescent="0.2">
      <c r="B46" s="8">
        <v>396</v>
      </c>
    </row>
    <row r="47" spans="2:2" x14ac:dyDescent="0.2">
      <c r="B47" s="8">
        <v>339</v>
      </c>
    </row>
    <row r="48" spans="2:2" x14ac:dyDescent="0.2">
      <c r="B48" s="8">
        <v>286</v>
      </c>
    </row>
    <row r="49" spans="2:2" x14ac:dyDescent="0.2">
      <c r="B49" s="8">
        <v>146</v>
      </c>
    </row>
    <row r="50" spans="2:2" x14ac:dyDescent="0.2">
      <c r="B50" s="8">
        <v>315</v>
      </c>
    </row>
    <row r="51" spans="2:2" x14ac:dyDescent="0.2">
      <c r="B51" s="8">
        <v>183</v>
      </c>
    </row>
    <row r="52" spans="2:2" x14ac:dyDescent="0.2">
      <c r="B52" s="8">
        <v>481</v>
      </c>
    </row>
    <row r="53" spans="2:2" x14ac:dyDescent="0.2">
      <c r="B53" s="8">
        <v>349</v>
      </c>
    </row>
    <row r="54" spans="2:2" x14ac:dyDescent="0.2">
      <c r="B54" s="8">
        <v>225</v>
      </c>
    </row>
    <row r="55" spans="2:2" x14ac:dyDescent="0.2">
      <c r="B55" s="8">
        <v>217</v>
      </c>
    </row>
    <row r="56" spans="2:2" x14ac:dyDescent="0.2">
      <c r="B56" s="8">
        <v>353</v>
      </c>
    </row>
    <row r="57" spans="2:2" x14ac:dyDescent="0.2">
      <c r="B57" s="8">
        <v>314</v>
      </c>
    </row>
    <row r="58" spans="2:2" x14ac:dyDescent="0.2">
      <c r="B58" s="8">
        <v>247</v>
      </c>
    </row>
    <row r="59" spans="2:2" x14ac:dyDescent="0.2">
      <c r="B59" s="8">
        <v>410</v>
      </c>
    </row>
    <row r="60" spans="2:2" x14ac:dyDescent="0.2">
      <c r="B60" s="8">
        <v>395</v>
      </c>
    </row>
    <row r="61" spans="2:2" x14ac:dyDescent="0.2">
      <c r="B61" s="8">
        <v>416</v>
      </c>
    </row>
    <row r="62" spans="2:2" x14ac:dyDescent="0.2">
      <c r="B62" s="8">
        <v>342</v>
      </c>
    </row>
    <row r="63" spans="2:2" x14ac:dyDescent="0.2">
      <c r="B63" s="8">
        <v>446</v>
      </c>
    </row>
    <row r="64" spans="2:2" x14ac:dyDescent="0.2">
      <c r="B64" s="8">
        <v>477</v>
      </c>
    </row>
    <row r="65" spans="2:2" x14ac:dyDescent="0.2">
      <c r="B65" s="8">
        <v>444</v>
      </c>
    </row>
    <row r="66" spans="2:2" x14ac:dyDescent="0.2">
      <c r="B66" s="8">
        <v>351</v>
      </c>
    </row>
    <row r="67" spans="2:2" x14ac:dyDescent="0.2">
      <c r="B67" s="8">
        <v>165</v>
      </c>
    </row>
    <row r="68" spans="2:2" x14ac:dyDescent="0.2">
      <c r="B68" s="8">
        <v>317</v>
      </c>
    </row>
    <row r="69" spans="2:2" x14ac:dyDescent="0.2">
      <c r="B69" s="8">
        <v>250</v>
      </c>
    </row>
    <row r="70" spans="2:2" x14ac:dyDescent="0.2">
      <c r="B70" s="8">
        <v>217</v>
      </c>
    </row>
    <row r="71" spans="2:2" x14ac:dyDescent="0.2">
      <c r="B71" s="8">
        <v>138</v>
      </c>
    </row>
    <row r="72" spans="2:2" x14ac:dyDescent="0.2">
      <c r="B72" s="8">
        <v>302</v>
      </c>
    </row>
    <row r="73" spans="2:2" x14ac:dyDescent="0.2">
      <c r="B73" s="8">
        <v>311</v>
      </c>
    </row>
    <row r="74" spans="2:2" x14ac:dyDescent="0.2">
      <c r="B74" s="8">
        <v>373</v>
      </c>
    </row>
    <row r="75" spans="2:2" x14ac:dyDescent="0.2">
      <c r="B75" s="8">
        <v>196</v>
      </c>
    </row>
    <row r="76" spans="2:2" x14ac:dyDescent="0.2">
      <c r="B76" s="8">
        <v>306</v>
      </c>
    </row>
    <row r="77" spans="2:2" x14ac:dyDescent="0.2">
      <c r="B77" s="8">
        <v>302</v>
      </c>
    </row>
    <row r="78" spans="2:2" x14ac:dyDescent="0.2">
      <c r="B78" s="8">
        <v>278</v>
      </c>
    </row>
    <row r="79" spans="2:2" x14ac:dyDescent="0.2">
      <c r="B79" s="8">
        <v>429</v>
      </c>
    </row>
    <row r="80" spans="2:2" x14ac:dyDescent="0.2">
      <c r="B80" s="8">
        <v>338</v>
      </c>
    </row>
    <row r="81" spans="2:2" x14ac:dyDescent="0.2">
      <c r="B81" s="8">
        <v>261</v>
      </c>
    </row>
    <row r="82" spans="2:2" x14ac:dyDescent="0.2">
      <c r="B82" s="8">
        <v>256</v>
      </c>
    </row>
    <row r="83" spans="2:2" x14ac:dyDescent="0.2">
      <c r="B83" s="8">
        <v>183</v>
      </c>
    </row>
    <row r="84" spans="2:2" x14ac:dyDescent="0.2">
      <c r="B84" s="8">
        <v>274</v>
      </c>
    </row>
    <row r="85" spans="2:2" x14ac:dyDescent="0.2">
      <c r="B85" s="8">
        <v>182</v>
      </c>
    </row>
    <row r="86" spans="2:2" x14ac:dyDescent="0.2">
      <c r="B86" s="8">
        <v>183</v>
      </c>
    </row>
    <row r="87" spans="2:2" x14ac:dyDescent="0.2">
      <c r="B87" s="8">
        <v>309</v>
      </c>
    </row>
    <row r="88" spans="2:2" x14ac:dyDescent="0.2">
      <c r="B88" s="8">
        <v>178</v>
      </c>
    </row>
    <row r="89" spans="2:2" x14ac:dyDescent="0.2">
      <c r="B89" s="8">
        <v>458</v>
      </c>
    </row>
    <row r="90" spans="2:2" x14ac:dyDescent="0.2">
      <c r="B90" s="8">
        <v>234</v>
      </c>
    </row>
    <row r="91" spans="2:2" x14ac:dyDescent="0.2">
      <c r="B91" s="8">
        <v>306</v>
      </c>
    </row>
    <row r="92" spans="2:2" x14ac:dyDescent="0.2">
      <c r="B92" s="8">
        <v>400</v>
      </c>
    </row>
    <row r="93" spans="2:2" x14ac:dyDescent="0.2">
      <c r="B93" s="8">
        <v>337</v>
      </c>
    </row>
    <row r="94" spans="2:2" x14ac:dyDescent="0.2">
      <c r="B94" s="8">
        <v>325</v>
      </c>
    </row>
    <row r="95" spans="2:2" x14ac:dyDescent="0.2">
      <c r="B95" s="8">
        <v>329</v>
      </c>
    </row>
    <row r="96" spans="2:2" x14ac:dyDescent="0.2">
      <c r="B96" s="8">
        <v>369</v>
      </c>
    </row>
    <row r="97" spans="2:2" x14ac:dyDescent="0.2">
      <c r="B97" s="8">
        <v>457</v>
      </c>
    </row>
    <row r="98" spans="2:2" x14ac:dyDescent="0.2">
      <c r="B98" s="8">
        <v>421</v>
      </c>
    </row>
    <row r="99" spans="2:2" x14ac:dyDescent="0.2">
      <c r="B99" s="8">
        <v>282</v>
      </c>
    </row>
    <row r="100" spans="2:2" x14ac:dyDescent="0.2">
      <c r="B100" s="8">
        <v>256</v>
      </c>
    </row>
  </sheetData>
  <mergeCells count="4">
    <mergeCell ref="D5:E5"/>
    <mergeCell ref="G5:H5"/>
    <mergeCell ref="D9:E9"/>
    <mergeCell ref="J5:K5"/>
  </mergeCells>
  <pageMargins left="0.7" right="0.7" top="0.75" bottom="0.75" header="0.3" footer="0.3"/>
  <pageSetup orientation="portrait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BA302-6255-4B0B-8FAB-28688B5D2A81}">
  <sheetPr codeName="Sheet28">
    <tabColor theme="9" tint="0.59999389629810485"/>
  </sheetPr>
  <dimension ref="B1:K58"/>
  <sheetViews>
    <sheetView showGridLines="0" workbookViewId="0">
      <selection activeCell="H8" sqref="H8"/>
    </sheetView>
  </sheetViews>
  <sheetFormatPr baseColWidth="10" defaultColWidth="8.83203125" defaultRowHeight="15" x14ac:dyDescent="0.2"/>
  <cols>
    <col min="1" max="1" width="2.83203125" customWidth="1"/>
    <col min="2" max="2" width="13.1640625" bestFit="1" customWidth="1"/>
    <col min="4" max="4" width="12.1640625" customWidth="1"/>
    <col min="5" max="5" width="11.5" customWidth="1"/>
    <col min="7" max="7" width="20" customWidth="1"/>
    <col min="8" max="8" width="9.5" bestFit="1" customWidth="1"/>
    <col min="10" max="10" width="14.33203125" customWidth="1"/>
    <col min="11" max="11" width="11.5" customWidth="1"/>
  </cols>
  <sheetData>
    <row r="1" spans="2:11" ht="25.5" customHeight="1" x14ac:dyDescent="0.25">
      <c r="B1" s="18" t="s">
        <v>151</v>
      </c>
    </row>
    <row r="2" spans="2:11" ht="15" customHeight="1" x14ac:dyDescent="0.2">
      <c r="B2" s="30" t="s">
        <v>304</v>
      </c>
    </row>
    <row r="3" spans="2:11" ht="18" customHeight="1" x14ac:dyDescent="0.2"/>
    <row r="4" spans="2:11" x14ac:dyDescent="0.2">
      <c r="D4" s="3" t="s">
        <v>54</v>
      </c>
      <c r="G4" s="3" t="s">
        <v>54</v>
      </c>
      <c r="J4" s="3" t="s">
        <v>54</v>
      </c>
    </row>
    <row r="5" spans="2:11" x14ac:dyDescent="0.2">
      <c r="B5" s="7" t="s">
        <v>35</v>
      </c>
      <c r="D5" s="115" t="s">
        <v>139</v>
      </c>
      <c r="E5" s="115"/>
      <c r="G5" s="115" t="s">
        <v>141</v>
      </c>
      <c r="H5" s="115"/>
      <c r="J5" s="115" t="s">
        <v>147</v>
      </c>
      <c r="K5" s="115"/>
    </row>
    <row r="6" spans="2:11" x14ac:dyDescent="0.2">
      <c r="B6" s="12">
        <v>111000</v>
      </c>
      <c r="D6" s="20" t="s">
        <v>71</v>
      </c>
      <c r="E6" s="71">
        <f>COUNT(B6:B58)</f>
        <v>53</v>
      </c>
      <c r="G6" s="20" t="s">
        <v>142</v>
      </c>
      <c r="H6" s="82">
        <v>0.9</v>
      </c>
      <c r="J6" s="20" t="s">
        <v>148</v>
      </c>
      <c r="K6" s="80">
        <f>E7-H8</f>
        <v>102215.50279518653</v>
      </c>
    </row>
    <row r="7" spans="2:11" x14ac:dyDescent="0.2">
      <c r="B7" s="12">
        <v>107000</v>
      </c>
      <c r="D7" s="20" t="s">
        <v>46</v>
      </c>
      <c r="E7" s="80">
        <f>AVERAGE(B6:B58)</f>
        <v>119386.7924528302</v>
      </c>
      <c r="G7" s="20" t="s">
        <v>143</v>
      </c>
      <c r="H7" s="82">
        <f>1-H6</f>
        <v>9.9999999999999978E-2</v>
      </c>
      <c r="J7" s="20" t="s">
        <v>149</v>
      </c>
      <c r="K7" s="80">
        <f>E7+H8</f>
        <v>136558.08211047386</v>
      </c>
    </row>
    <row r="8" spans="2:11" x14ac:dyDescent="0.2">
      <c r="B8" s="12">
        <v>109000</v>
      </c>
      <c r="D8" s="20"/>
      <c r="E8" s="28"/>
      <c r="G8" s="20" t="s">
        <v>150</v>
      </c>
      <c r="H8" s="80">
        <f>_xlfn.CONFIDENCE.NORM(H7,E11,E6)</f>
        <v>17171.289657643654</v>
      </c>
    </row>
    <row r="9" spans="2:11" x14ac:dyDescent="0.2">
      <c r="B9" s="12">
        <v>148000</v>
      </c>
      <c r="D9" s="115" t="s">
        <v>140</v>
      </c>
      <c r="E9" s="115"/>
    </row>
    <row r="10" spans="2:11" x14ac:dyDescent="0.2">
      <c r="B10" s="12">
        <v>255500</v>
      </c>
      <c r="D10" s="20" t="s">
        <v>46</v>
      </c>
      <c r="E10" s="80">
        <v>101000</v>
      </c>
    </row>
    <row r="11" spans="2:11" x14ac:dyDescent="0.2">
      <c r="B11" s="12">
        <v>103500</v>
      </c>
      <c r="D11" s="20" t="s">
        <v>70</v>
      </c>
      <c r="E11" s="80">
        <v>76000</v>
      </c>
      <c r="G11" s="20"/>
    </row>
    <row r="12" spans="2:11" x14ac:dyDescent="0.2">
      <c r="B12" s="12">
        <v>114500</v>
      </c>
    </row>
    <row r="13" spans="2:11" x14ac:dyDescent="0.2">
      <c r="B13" s="12">
        <v>124000</v>
      </c>
    </row>
    <row r="14" spans="2:11" x14ac:dyDescent="0.2">
      <c r="B14" s="12">
        <v>132500</v>
      </c>
    </row>
    <row r="15" spans="2:11" x14ac:dyDescent="0.2">
      <c r="B15" s="12">
        <v>99000</v>
      </c>
    </row>
    <row r="16" spans="2:11" x14ac:dyDescent="0.2">
      <c r="B16" s="12">
        <v>124000</v>
      </c>
    </row>
    <row r="17" spans="2:2" x14ac:dyDescent="0.2">
      <c r="B17" s="12">
        <v>82000</v>
      </c>
    </row>
    <row r="18" spans="2:2" x14ac:dyDescent="0.2">
      <c r="B18" s="12">
        <v>185000</v>
      </c>
    </row>
    <row r="19" spans="2:2" x14ac:dyDescent="0.2">
      <c r="B19" s="12">
        <v>89500</v>
      </c>
    </row>
    <row r="20" spans="2:2" x14ac:dyDescent="0.2">
      <c r="B20" s="12">
        <v>91500</v>
      </c>
    </row>
    <row r="21" spans="2:2" x14ac:dyDescent="0.2">
      <c r="B21" s="12">
        <v>113500</v>
      </c>
    </row>
    <row r="22" spans="2:2" x14ac:dyDescent="0.2">
      <c r="B22" s="12">
        <v>99000</v>
      </c>
    </row>
    <row r="23" spans="2:2" x14ac:dyDescent="0.2">
      <c r="B23" s="12">
        <v>75500</v>
      </c>
    </row>
    <row r="24" spans="2:2" x14ac:dyDescent="0.2">
      <c r="B24" s="12">
        <v>86000</v>
      </c>
    </row>
    <row r="25" spans="2:2" x14ac:dyDescent="0.2">
      <c r="B25" s="12">
        <v>156500</v>
      </c>
    </row>
    <row r="26" spans="2:2" x14ac:dyDescent="0.2">
      <c r="B26" s="12">
        <v>99500</v>
      </c>
    </row>
    <row r="27" spans="2:2" x14ac:dyDescent="0.2">
      <c r="B27" s="12">
        <v>148000</v>
      </c>
    </row>
    <row r="28" spans="2:2" x14ac:dyDescent="0.2">
      <c r="B28" s="12">
        <v>82000</v>
      </c>
    </row>
    <row r="29" spans="2:2" x14ac:dyDescent="0.2">
      <c r="B29" s="12">
        <v>103500</v>
      </c>
    </row>
    <row r="30" spans="2:2" x14ac:dyDescent="0.2">
      <c r="B30" s="12">
        <v>205500</v>
      </c>
    </row>
    <row r="31" spans="2:2" x14ac:dyDescent="0.2">
      <c r="B31" s="12">
        <v>103500</v>
      </c>
    </row>
    <row r="32" spans="2:2" x14ac:dyDescent="0.2">
      <c r="B32" s="12">
        <v>340000</v>
      </c>
    </row>
    <row r="33" spans="2:2" x14ac:dyDescent="0.2">
      <c r="B33" s="12">
        <v>103500</v>
      </c>
    </row>
    <row r="34" spans="2:2" x14ac:dyDescent="0.2">
      <c r="B34" s="12">
        <v>99500</v>
      </c>
    </row>
    <row r="35" spans="2:2" x14ac:dyDescent="0.2">
      <c r="B35" s="12">
        <v>103000</v>
      </c>
    </row>
    <row r="36" spans="2:2" x14ac:dyDescent="0.2">
      <c r="B36" s="12">
        <v>103500</v>
      </c>
    </row>
    <row r="37" spans="2:2" x14ac:dyDescent="0.2">
      <c r="B37" s="12">
        <v>165000</v>
      </c>
    </row>
    <row r="38" spans="2:2" x14ac:dyDescent="0.2">
      <c r="B38" s="12">
        <v>124500</v>
      </c>
    </row>
    <row r="39" spans="2:2" x14ac:dyDescent="0.2">
      <c r="B39" s="12">
        <v>103500</v>
      </c>
    </row>
    <row r="40" spans="2:2" x14ac:dyDescent="0.2">
      <c r="B40" s="12">
        <v>82500</v>
      </c>
    </row>
    <row r="41" spans="2:2" x14ac:dyDescent="0.2">
      <c r="B41" s="12">
        <v>93000</v>
      </c>
    </row>
    <row r="42" spans="2:2" x14ac:dyDescent="0.2">
      <c r="B42" s="12">
        <v>168000</v>
      </c>
    </row>
    <row r="43" spans="2:2" x14ac:dyDescent="0.2">
      <c r="B43" s="12">
        <v>96000</v>
      </c>
    </row>
    <row r="44" spans="2:2" x14ac:dyDescent="0.2">
      <c r="B44" s="12">
        <v>80000</v>
      </c>
    </row>
    <row r="45" spans="2:2" x14ac:dyDescent="0.2">
      <c r="B45" s="12">
        <v>124500</v>
      </c>
    </row>
    <row r="46" spans="2:2" x14ac:dyDescent="0.2">
      <c r="B46" s="12">
        <v>99000</v>
      </c>
    </row>
    <row r="47" spans="2:2" x14ac:dyDescent="0.2">
      <c r="B47" s="12">
        <v>124000</v>
      </c>
    </row>
    <row r="48" spans="2:2" x14ac:dyDescent="0.2">
      <c r="B48" s="12">
        <v>91500</v>
      </c>
    </row>
    <row r="49" spans="2:2" x14ac:dyDescent="0.2">
      <c r="B49" s="12">
        <v>144500</v>
      </c>
    </row>
    <row r="50" spans="2:2" x14ac:dyDescent="0.2">
      <c r="B50" s="12">
        <v>114500</v>
      </c>
    </row>
    <row r="51" spans="2:2" x14ac:dyDescent="0.2">
      <c r="B51" s="12">
        <v>104500</v>
      </c>
    </row>
    <row r="52" spans="2:2" x14ac:dyDescent="0.2">
      <c r="B52" s="12">
        <v>124000</v>
      </c>
    </row>
    <row r="53" spans="2:2" x14ac:dyDescent="0.2">
      <c r="B53" s="12">
        <v>113000</v>
      </c>
    </row>
    <row r="54" spans="2:2" x14ac:dyDescent="0.2">
      <c r="B54" s="12">
        <v>78000</v>
      </c>
    </row>
    <row r="55" spans="2:2" x14ac:dyDescent="0.2">
      <c r="B55" s="12">
        <v>109000</v>
      </c>
    </row>
    <row r="56" spans="2:2" x14ac:dyDescent="0.2">
      <c r="B56" s="12">
        <v>99500</v>
      </c>
    </row>
    <row r="57" spans="2:2" x14ac:dyDescent="0.2">
      <c r="B57" s="12">
        <v>107000</v>
      </c>
    </row>
    <row r="58" spans="2:2" x14ac:dyDescent="0.2">
      <c r="B58" s="12">
        <v>84000</v>
      </c>
    </row>
  </sheetData>
  <mergeCells count="4">
    <mergeCell ref="D5:E5"/>
    <mergeCell ref="G5:H5"/>
    <mergeCell ref="J5:K5"/>
    <mergeCell ref="D9:E9"/>
  </mergeCells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8918B-A2D2-48EA-A229-EB4A2B548471}">
  <sheetPr codeName="Sheet29">
    <tabColor theme="9" tint="0.79998168889431442"/>
  </sheetPr>
  <dimension ref="B1:K100"/>
  <sheetViews>
    <sheetView showGridLines="0" workbookViewId="0">
      <selection activeCell="H10" sqref="H10"/>
    </sheetView>
  </sheetViews>
  <sheetFormatPr baseColWidth="10" defaultColWidth="8.83203125" defaultRowHeight="15" x14ac:dyDescent="0.2"/>
  <cols>
    <col min="1" max="1" width="2.83203125" customWidth="1"/>
    <col min="2" max="2" width="19.33203125" bestFit="1" customWidth="1"/>
    <col min="4" max="4" width="12.1640625" customWidth="1"/>
    <col min="5" max="5" width="11.5" customWidth="1"/>
    <col min="7" max="7" width="20" customWidth="1"/>
    <col min="8" max="8" width="9.5" bestFit="1" customWidth="1"/>
    <col min="10" max="10" width="14.33203125" customWidth="1"/>
    <col min="11" max="11" width="11.5" customWidth="1"/>
  </cols>
  <sheetData>
    <row r="1" spans="2:11" ht="25.5" customHeight="1" x14ac:dyDescent="0.25">
      <c r="B1" s="18" t="s">
        <v>145</v>
      </c>
    </row>
    <row r="2" spans="2:11" ht="15" customHeight="1" x14ac:dyDescent="0.2">
      <c r="B2" s="30" t="s">
        <v>305</v>
      </c>
    </row>
    <row r="3" spans="2:11" ht="18" customHeight="1" x14ac:dyDescent="0.2"/>
    <row r="4" spans="2:11" x14ac:dyDescent="0.2">
      <c r="D4" s="3" t="s">
        <v>54</v>
      </c>
      <c r="G4" s="3" t="s">
        <v>54</v>
      </c>
      <c r="J4" s="3" t="s">
        <v>54</v>
      </c>
    </row>
    <row r="5" spans="2:11" x14ac:dyDescent="0.2">
      <c r="B5" s="7" t="s">
        <v>23</v>
      </c>
      <c r="D5" s="115" t="s">
        <v>139</v>
      </c>
      <c r="E5" s="115"/>
      <c r="G5" s="115" t="s">
        <v>141</v>
      </c>
      <c r="H5" s="115"/>
      <c r="J5" s="115" t="s">
        <v>147</v>
      </c>
      <c r="K5" s="115"/>
    </row>
    <row r="6" spans="2:11" x14ac:dyDescent="0.2">
      <c r="B6" s="8">
        <v>276</v>
      </c>
      <c r="D6" s="20" t="s">
        <v>71</v>
      </c>
      <c r="E6" s="71">
        <f>COUNT(B6:B100)</f>
        <v>95</v>
      </c>
      <c r="G6" s="20" t="s">
        <v>142</v>
      </c>
      <c r="H6" s="82">
        <v>0.9</v>
      </c>
      <c r="J6" s="20" t="s">
        <v>148</v>
      </c>
      <c r="K6" s="75">
        <f>E7-H11</f>
        <v>273.40781140085119</v>
      </c>
    </row>
    <row r="7" spans="2:11" x14ac:dyDescent="0.2">
      <c r="B7" s="8">
        <v>410</v>
      </c>
      <c r="D7" s="20" t="s">
        <v>46</v>
      </c>
      <c r="E7" s="72">
        <f>AVERAGE(B6:B100)</f>
        <v>289.34736842105264</v>
      </c>
      <c r="G7" s="20" t="s">
        <v>143</v>
      </c>
      <c r="H7" s="82">
        <f>1-H6</f>
        <v>9.9999999999999978E-2</v>
      </c>
      <c r="J7" s="20" t="s">
        <v>149</v>
      </c>
      <c r="K7" s="75">
        <f>E7+H11</f>
        <v>305.28692544125408</v>
      </c>
    </row>
    <row r="8" spans="2:11" x14ac:dyDescent="0.2">
      <c r="B8" s="8">
        <v>119</v>
      </c>
      <c r="D8" s="20" t="s">
        <v>70</v>
      </c>
      <c r="E8" s="75">
        <f>_xlfn.STDEV.S(B6:B100)</f>
        <v>93.521048765238149</v>
      </c>
      <c r="G8" s="20" t="s">
        <v>144</v>
      </c>
      <c r="H8" s="85">
        <f>H7/2</f>
        <v>4.9999999999999989E-2</v>
      </c>
    </row>
    <row r="9" spans="2:11" x14ac:dyDescent="0.2">
      <c r="B9" s="8">
        <v>334</v>
      </c>
      <c r="G9" s="20" t="s">
        <v>156</v>
      </c>
      <c r="H9" s="86">
        <f>_xlfn.T.INV(1-H8,E6-1)</f>
        <v>1.6612258552965111</v>
      </c>
    </row>
    <row r="10" spans="2:11" x14ac:dyDescent="0.2">
      <c r="B10" s="8">
        <v>252</v>
      </c>
      <c r="G10" s="20" t="s">
        <v>146</v>
      </c>
      <c r="H10" s="75">
        <f>E8/SQRT(E6)</f>
        <v>9.5950571497434378</v>
      </c>
    </row>
    <row r="11" spans="2:11" x14ac:dyDescent="0.2">
      <c r="B11" s="8">
        <v>209</v>
      </c>
      <c r="G11" s="20" t="s">
        <v>150</v>
      </c>
      <c r="H11" s="75">
        <f>_xlfn.CONFIDENCE.T(H7,E8,E6)</f>
        <v>15.939557020201446</v>
      </c>
    </row>
    <row r="12" spans="2:11" x14ac:dyDescent="0.2">
      <c r="B12" s="8">
        <v>462</v>
      </c>
    </row>
    <row r="13" spans="2:11" x14ac:dyDescent="0.2">
      <c r="B13" s="8">
        <v>342</v>
      </c>
    </row>
    <row r="14" spans="2:11" x14ac:dyDescent="0.2">
      <c r="B14" s="8">
        <v>347</v>
      </c>
    </row>
    <row r="15" spans="2:11" x14ac:dyDescent="0.2">
      <c r="B15" s="8">
        <v>313</v>
      </c>
    </row>
    <row r="16" spans="2:11" x14ac:dyDescent="0.2">
      <c r="B16" s="8">
        <v>232</v>
      </c>
    </row>
    <row r="17" spans="2:2" x14ac:dyDescent="0.2">
      <c r="B17" s="8">
        <v>163</v>
      </c>
    </row>
    <row r="18" spans="2:2" x14ac:dyDescent="0.2">
      <c r="B18" s="8">
        <v>119</v>
      </c>
    </row>
    <row r="19" spans="2:2" x14ac:dyDescent="0.2">
      <c r="B19" s="8">
        <v>304</v>
      </c>
    </row>
    <row r="20" spans="2:2" x14ac:dyDescent="0.2">
      <c r="B20" s="8">
        <v>211</v>
      </c>
    </row>
    <row r="21" spans="2:2" x14ac:dyDescent="0.2">
      <c r="B21" s="8">
        <v>286</v>
      </c>
    </row>
    <row r="22" spans="2:2" x14ac:dyDescent="0.2">
      <c r="B22" s="8">
        <v>122</v>
      </c>
    </row>
    <row r="23" spans="2:2" x14ac:dyDescent="0.2">
      <c r="B23" s="8">
        <v>443</v>
      </c>
    </row>
    <row r="24" spans="2:2" x14ac:dyDescent="0.2">
      <c r="B24" s="8">
        <v>366</v>
      </c>
    </row>
    <row r="25" spans="2:2" x14ac:dyDescent="0.2">
      <c r="B25" s="8">
        <v>244</v>
      </c>
    </row>
    <row r="26" spans="2:2" x14ac:dyDescent="0.2">
      <c r="B26" s="8">
        <v>241</v>
      </c>
    </row>
    <row r="27" spans="2:2" x14ac:dyDescent="0.2">
      <c r="B27" s="8">
        <v>237</v>
      </c>
    </row>
    <row r="28" spans="2:2" x14ac:dyDescent="0.2">
      <c r="B28" s="8">
        <v>122</v>
      </c>
    </row>
    <row r="29" spans="2:2" x14ac:dyDescent="0.2">
      <c r="B29" s="8">
        <v>129</v>
      </c>
    </row>
    <row r="30" spans="2:2" x14ac:dyDescent="0.2">
      <c r="B30" s="8">
        <v>236</v>
      </c>
    </row>
    <row r="31" spans="2:2" x14ac:dyDescent="0.2">
      <c r="B31" s="8">
        <v>251</v>
      </c>
    </row>
    <row r="32" spans="2:2" x14ac:dyDescent="0.2">
      <c r="B32" s="8">
        <v>283</v>
      </c>
    </row>
    <row r="33" spans="2:2" x14ac:dyDescent="0.2">
      <c r="B33" s="8">
        <v>225</v>
      </c>
    </row>
    <row r="34" spans="2:2" x14ac:dyDescent="0.2">
      <c r="B34" s="8">
        <v>102</v>
      </c>
    </row>
    <row r="35" spans="2:2" x14ac:dyDescent="0.2">
      <c r="B35" s="8">
        <v>180</v>
      </c>
    </row>
    <row r="36" spans="2:2" x14ac:dyDescent="0.2">
      <c r="B36" s="8">
        <v>247</v>
      </c>
    </row>
    <row r="37" spans="2:2" x14ac:dyDescent="0.2">
      <c r="B37" s="8">
        <v>343</v>
      </c>
    </row>
    <row r="38" spans="2:2" x14ac:dyDescent="0.2">
      <c r="B38" s="8">
        <v>283</v>
      </c>
    </row>
    <row r="39" spans="2:2" x14ac:dyDescent="0.2">
      <c r="B39" s="8">
        <v>253</v>
      </c>
    </row>
    <row r="40" spans="2:2" x14ac:dyDescent="0.2">
      <c r="B40" s="8">
        <v>263</v>
      </c>
    </row>
    <row r="41" spans="2:2" x14ac:dyDescent="0.2">
      <c r="B41" s="8">
        <v>291</v>
      </c>
    </row>
    <row r="42" spans="2:2" x14ac:dyDescent="0.2">
      <c r="B42" s="8">
        <v>368</v>
      </c>
    </row>
    <row r="43" spans="2:2" x14ac:dyDescent="0.2">
      <c r="B43" s="8">
        <v>206</v>
      </c>
    </row>
    <row r="44" spans="2:2" x14ac:dyDescent="0.2">
      <c r="B44" s="8">
        <v>231</v>
      </c>
    </row>
    <row r="45" spans="2:2" x14ac:dyDescent="0.2">
      <c r="B45" s="8">
        <v>389</v>
      </c>
    </row>
    <row r="46" spans="2:2" x14ac:dyDescent="0.2">
      <c r="B46" s="8">
        <v>396</v>
      </c>
    </row>
    <row r="47" spans="2:2" x14ac:dyDescent="0.2">
      <c r="B47" s="8">
        <v>339</v>
      </c>
    </row>
    <row r="48" spans="2:2" x14ac:dyDescent="0.2">
      <c r="B48" s="8">
        <v>286</v>
      </c>
    </row>
    <row r="49" spans="2:2" x14ac:dyDescent="0.2">
      <c r="B49" s="8">
        <v>146</v>
      </c>
    </row>
    <row r="50" spans="2:2" x14ac:dyDescent="0.2">
      <c r="B50" s="8">
        <v>315</v>
      </c>
    </row>
    <row r="51" spans="2:2" x14ac:dyDescent="0.2">
      <c r="B51" s="8">
        <v>183</v>
      </c>
    </row>
    <row r="52" spans="2:2" x14ac:dyDescent="0.2">
      <c r="B52" s="8">
        <v>481</v>
      </c>
    </row>
    <row r="53" spans="2:2" x14ac:dyDescent="0.2">
      <c r="B53" s="8">
        <v>349</v>
      </c>
    </row>
    <row r="54" spans="2:2" x14ac:dyDescent="0.2">
      <c r="B54" s="8">
        <v>225</v>
      </c>
    </row>
    <row r="55" spans="2:2" x14ac:dyDescent="0.2">
      <c r="B55" s="8">
        <v>217</v>
      </c>
    </row>
    <row r="56" spans="2:2" x14ac:dyDescent="0.2">
      <c r="B56" s="8">
        <v>353</v>
      </c>
    </row>
    <row r="57" spans="2:2" x14ac:dyDescent="0.2">
      <c r="B57" s="8">
        <v>314</v>
      </c>
    </row>
    <row r="58" spans="2:2" x14ac:dyDescent="0.2">
      <c r="B58" s="8">
        <v>247</v>
      </c>
    </row>
    <row r="59" spans="2:2" x14ac:dyDescent="0.2">
      <c r="B59" s="8">
        <v>410</v>
      </c>
    </row>
    <row r="60" spans="2:2" x14ac:dyDescent="0.2">
      <c r="B60" s="8">
        <v>395</v>
      </c>
    </row>
    <row r="61" spans="2:2" x14ac:dyDescent="0.2">
      <c r="B61" s="8">
        <v>416</v>
      </c>
    </row>
    <row r="62" spans="2:2" x14ac:dyDescent="0.2">
      <c r="B62" s="8">
        <v>342</v>
      </c>
    </row>
    <row r="63" spans="2:2" x14ac:dyDescent="0.2">
      <c r="B63" s="8">
        <v>446</v>
      </c>
    </row>
    <row r="64" spans="2:2" x14ac:dyDescent="0.2">
      <c r="B64" s="8">
        <v>477</v>
      </c>
    </row>
    <row r="65" spans="2:2" x14ac:dyDescent="0.2">
      <c r="B65" s="8">
        <v>444</v>
      </c>
    </row>
    <row r="66" spans="2:2" x14ac:dyDescent="0.2">
      <c r="B66" s="8">
        <v>351</v>
      </c>
    </row>
    <row r="67" spans="2:2" x14ac:dyDescent="0.2">
      <c r="B67" s="8">
        <v>165</v>
      </c>
    </row>
    <row r="68" spans="2:2" x14ac:dyDescent="0.2">
      <c r="B68" s="8">
        <v>317</v>
      </c>
    </row>
    <row r="69" spans="2:2" x14ac:dyDescent="0.2">
      <c r="B69" s="8">
        <v>250</v>
      </c>
    </row>
    <row r="70" spans="2:2" x14ac:dyDescent="0.2">
      <c r="B70" s="8">
        <v>217</v>
      </c>
    </row>
    <row r="71" spans="2:2" x14ac:dyDescent="0.2">
      <c r="B71" s="8">
        <v>138</v>
      </c>
    </row>
    <row r="72" spans="2:2" x14ac:dyDescent="0.2">
      <c r="B72" s="8">
        <v>302</v>
      </c>
    </row>
    <row r="73" spans="2:2" x14ac:dyDescent="0.2">
      <c r="B73" s="8">
        <v>311</v>
      </c>
    </row>
    <row r="74" spans="2:2" x14ac:dyDescent="0.2">
      <c r="B74" s="8">
        <v>373</v>
      </c>
    </row>
    <row r="75" spans="2:2" x14ac:dyDescent="0.2">
      <c r="B75" s="8">
        <v>196</v>
      </c>
    </row>
    <row r="76" spans="2:2" x14ac:dyDescent="0.2">
      <c r="B76" s="8">
        <v>306</v>
      </c>
    </row>
    <row r="77" spans="2:2" x14ac:dyDescent="0.2">
      <c r="B77" s="8">
        <v>302</v>
      </c>
    </row>
    <row r="78" spans="2:2" x14ac:dyDescent="0.2">
      <c r="B78" s="8">
        <v>278</v>
      </c>
    </row>
    <row r="79" spans="2:2" x14ac:dyDescent="0.2">
      <c r="B79" s="8">
        <v>429</v>
      </c>
    </row>
    <row r="80" spans="2:2" x14ac:dyDescent="0.2">
      <c r="B80" s="8">
        <v>338</v>
      </c>
    </row>
    <row r="81" spans="2:2" x14ac:dyDescent="0.2">
      <c r="B81" s="8">
        <v>261</v>
      </c>
    </row>
    <row r="82" spans="2:2" x14ac:dyDescent="0.2">
      <c r="B82" s="8">
        <v>256</v>
      </c>
    </row>
    <row r="83" spans="2:2" x14ac:dyDescent="0.2">
      <c r="B83" s="8">
        <v>183</v>
      </c>
    </row>
    <row r="84" spans="2:2" x14ac:dyDescent="0.2">
      <c r="B84" s="8">
        <v>274</v>
      </c>
    </row>
    <row r="85" spans="2:2" x14ac:dyDescent="0.2">
      <c r="B85" s="8">
        <v>182</v>
      </c>
    </row>
    <row r="86" spans="2:2" x14ac:dyDescent="0.2">
      <c r="B86" s="8">
        <v>183</v>
      </c>
    </row>
    <row r="87" spans="2:2" x14ac:dyDescent="0.2">
      <c r="B87" s="8">
        <v>309</v>
      </c>
    </row>
    <row r="88" spans="2:2" x14ac:dyDescent="0.2">
      <c r="B88" s="8">
        <v>178</v>
      </c>
    </row>
    <row r="89" spans="2:2" x14ac:dyDescent="0.2">
      <c r="B89" s="8">
        <v>458</v>
      </c>
    </row>
    <row r="90" spans="2:2" x14ac:dyDescent="0.2">
      <c r="B90" s="8">
        <v>234</v>
      </c>
    </row>
    <row r="91" spans="2:2" x14ac:dyDescent="0.2">
      <c r="B91" s="8">
        <v>306</v>
      </c>
    </row>
    <row r="92" spans="2:2" x14ac:dyDescent="0.2">
      <c r="B92" s="8">
        <v>400</v>
      </c>
    </row>
    <row r="93" spans="2:2" x14ac:dyDescent="0.2">
      <c r="B93" s="8">
        <v>337</v>
      </c>
    </row>
    <row r="94" spans="2:2" x14ac:dyDescent="0.2">
      <c r="B94" s="8">
        <v>325</v>
      </c>
    </row>
    <row r="95" spans="2:2" x14ac:dyDescent="0.2">
      <c r="B95" s="8">
        <v>329</v>
      </c>
    </row>
    <row r="96" spans="2:2" x14ac:dyDescent="0.2">
      <c r="B96" s="8">
        <v>369</v>
      </c>
    </row>
    <row r="97" spans="2:2" x14ac:dyDescent="0.2">
      <c r="B97" s="8">
        <v>457</v>
      </c>
    </row>
    <row r="98" spans="2:2" x14ac:dyDescent="0.2">
      <c r="B98" s="8">
        <v>421</v>
      </c>
    </row>
    <row r="99" spans="2:2" x14ac:dyDescent="0.2">
      <c r="B99" s="8">
        <v>282</v>
      </c>
    </row>
    <row r="100" spans="2:2" x14ac:dyDescent="0.2">
      <c r="B100" s="8">
        <v>256</v>
      </c>
    </row>
  </sheetData>
  <mergeCells count="3">
    <mergeCell ref="D5:E5"/>
    <mergeCell ref="G5:H5"/>
    <mergeCell ref="J5:K5"/>
  </mergeCells>
  <pageMargins left="0.7" right="0.7" top="0.75" bottom="0.75" header="0.3" footer="0.3"/>
  <pageSetup orientation="portrait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9CD96-16AC-4765-B570-B851574A1BDC}">
  <sheetPr codeName="Sheet30">
    <tabColor theme="9" tint="0.59999389629810485"/>
  </sheetPr>
  <dimension ref="B1:K58"/>
  <sheetViews>
    <sheetView showGridLines="0" topLeftCell="D1" workbookViewId="0">
      <selection activeCell="H6" sqref="H6"/>
    </sheetView>
  </sheetViews>
  <sheetFormatPr baseColWidth="10" defaultColWidth="8.83203125" defaultRowHeight="15" x14ac:dyDescent="0.2"/>
  <cols>
    <col min="1" max="1" width="2.83203125" customWidth="1"/>
    <col min="2" max="2" width="13.1640625" bestFit="1" customWidth="1"/>
    <col min="4" max="4" width="12.1640625" customWidth="1"/>
    <col min="5" max="5" width="11.5" customWidth="1"/>
    <col min="7" max="7" width="20" customWidth="1"/>
    <col min="8" max="8" width="9.5" bestFit="1" customWidth="1"/>
    <col min="10" max="10" width="14.33203125" customWidth="1"/>
    <col min="11" max="11" width="11.5" customWidth="1"/>
  </cols>
  <sheetData>
    <row r="1" spans="2:11" ht="25.5" customHeight="1" x14ac:dyDescent="0.25">
      <c r="B1" s="18" t="s">
        <v>151</v>
      </c>
    </row>
    <row r="2" spans="2:11" ht="15" customHeight="1" x14ac:dyDescent="0.2">
      <c r="B2" s="30" t="s">
        <v>305</v>
      </c>
    </row>
    <row r="3" spans="2:11" ht="18" customHeight="1" x14ac:dyDescent="0.2"/>
    <row r="4" spans="2:11" x14ac:dyDescent="0.2">
      <c r="D4" s="3" t="s">
        <v>54</v>
      </c>
      <c r="G4" s="3" t="s">
        <v>54</v>
      </c>
      <c r="J4" s="3" t="s">
        <v>54</v>
      </c>
    </row>
    <row r="5" spans="2:11" x14ac:dyDescent="0.2">
      <c r="B5" s="7" t="s">
        <v>35</v>
      </c>
      <c r="D5" s="115" t="s">
        <v>139</v>
      </c>
      <c r="E5" s="115"/>
      <c r="G5" s="115" t="s">
        <v>141</v>
      </c>
      <c r="H5" s="115"/>
      <c r="J5" s="115" t="s">
        <v>147</v>
      </c>
      <c r="K5" s="115"/>
    </row>
    <row r="6" spans="2:11" x14ac:dyDescent="0.2">
      <c r="B6" s="12">
        <v>111000</v>
      </c>
      <c r="D6" s="20" t="s">
        <v>71</v>
      </c>
      <c r="E6" s="71">
        <f>COUNT(B6:B58)</f>
        <v>53</v>
      </c>
      <c r="G6" s="20" t="s">
        <v>142</v>
      </c>
      <c r="H6" s="82">
        <v>0.95</v>
      </c>
      <c r="J6" s="20" t="s">
        <v>148</v>
      </c>
      <c r="K6" s="80">
        <f>E7-H8</f>
        <v>106832.49595248907</v>
      </c>
    </row>
    <row r="7" spans="2:11" x14ac:dyDescent="0.2">
      <c r="B7" s="12">
        <v>107000</v>
      </c>
      <c r="D7" s="20" t="s">
        <v>46</v>
      </c>
      <c r="E7" s="80">
        <f>AVERAGE(B6:B58)</f>
        <v>119386.7924528302</v>
      </c>
      <c r="G7" s="20" t="s">
        <v>143</v>
      </c>
      <c r="H7" s="82">
        <f>1-H6</f>
        <v>5.0000000000000044E-2</v>
      </c>
      <c r="J7" s="20" t="s">
        <v>149</v>
      </c>
      <c r="K7" s="80">
        <f>E7+H8</f>
        <v>131941.08895317133</v>
      </c>
    </row>
    <row r="8" spans="2:11" x14ac:dyDescent="0.2">
      <c r="B8" s="12">
        <v>109000</v>
      </c>
      <c r="D8" s="20" t="s">
        <v>70</v>
      </c>
      <c r="E8" s="80">
        <f>_xlfn.STDEV.S(B6:B58)</f>
        <v>45546.958176470725</v>
      </c>
      <c r="G8" s="20" t="s">
        <v>150</v>
      </c>
      <c r="H8" s="80">
        <f>_xlfn.CONFIDENCE.T(H7,E8,E6)</f>
        <v>12554.296500341125</v>
      </c>
    </row>
    <row r="9" spans="2:11" x14ac:dyDescent="0.2">
      <c r="B9" s="12">
        <v>148000</v>
      </c>
    </row>
    <row r="10" spans="2:11" x14ac:dyDescent="0.2">
      <c r="B10" s="12">
        <v>255500</v>
      </c>
      <c r="H10" s="98"/>
    </row>
    <row r="11" spans="2:11" x14ac:dyDescent="0.2">
      <c r="B11" s="12">
        <v>103500</v>
      </c>
      <c r="G11" s="20"/>
    </row>
    <row r="12" spans="2:11" x14ac:dyDescent="0.2">
      <c r="B12" s="12">
        <v>114500</v>
      </c>
    </row>
    <row r="13" spans="2:11" x14ac:dyDescent="0.2">
      <c r="B13" s="12">
        <v>124000</v>
      </c>
    </row>
    <row r="14" spans="2:11" x14ac:dyDescent="0.2">
      <c r="B14" s="12">
        <v>132500</v>
      </c>
    </row>
    <row r="15" spans="2:11" x14ac:dyDescent="0.2">
      <c r="B15" s="12">
        <v>99000</v>
      </c>
    </row>
    <row r="16" spans="2:11" x14ac:dyDescent="0.2">
      <c r="B16" s="12">
        <v>124000</v>
      </c>
    </row>
    <row r="17" spans="2:2" x14ac:dyDescent="0.2">
      <c r="B17" s="12">
        <v>82000</v>
      </c>
    </row>
    <row r="18" spans="2:2" x14ac:dyDescent="0.2">
      <c r="B18" s="12">
        <v>185000</v>
      </c>
    </row>
    <row r="19" spans="2:2" x14ac:dyDescent="0.2">
      <c r="B19" s="12">
        <v>89500</v>
      </c>
    </row>
    <row r="20" spans="2:2" x14ac:dyDescent="0.2">
      <c r="B20" s="12">
        <v>91500</v>
      </c>
    </row>
    <row r="21" spans="2:2" x14ac:dyDescent="0.2">
      <c r="B21" s="12">
        <v>113500</v>
      </c>
    </row>
    <row r="22" spans="2:2" x14ac:dyDescent="0.2">
      <c r="B22" s="12">
        <v>99000</v>
      </c>
    </row>
    <row r="23" spans="2:2" x14ac:dyDescent="0.2">
      <c r="B23" s="12">
        <v>75500</v>
      </c>
    </row>
    <row r="24" spans="2:2" x14ac:dyDescent="0.2">
      <c r="B24" s="12">
        <v>86000</v>
      </c>
    </row>
    <row r="25" spans="2:2" x14ac:dyDescent="0.2">
      <c r="B25" s="12">
        <v>156500</v>
      </c>
    </row>
    <row r="26" spans="2:2" x14ac:dyDescent="0.2">
      <c r="B26" s="12">
        <v>99500</v>
      </c>
    </row>
    <row r="27" spans="2:2" x14ac:dyDescent="0.2">
      <c r="B27" s="12">
        <v>148000</v>
      </c>
    </row>
    <row r="28" spans="2:2" x14ac:dyDescent="0.2">
      <c r="B28" s="12">
        <v>82000</v>
      </c>
    </row>
    <row r="29" spans="2:2" x14ac:dyDescent="0.2">
      <c r="B29" s="12">
        <v>103500</v>
      </c>
    </row>
    <row r="30" spans="2:2" x14ac:dyDescent="0.2">
      <c r="B30" s="12">
        <v>205500</v>
      </c>
    </row>
    <row r="31" spans="2:2" x14ac:dyDescent="0.2">
      <c r="B31" s="12">
        <v>103500</v>
      </c>
    </row>
    <row r="32" spans="2:2" x14ac:dyDescent="0.2">
      <c r="B32" s="12">
        <v>340000</v>
      </c>
    </row>
    <row r="33" spans="2:2" x14ac:dyDescent="0.2">
      <c r="B33" s="12">
        <v>103500</v>
      </c>
    </row>
    <row r="34" spans="2:2" x14ac:dyDescent="0.2">
      <c r="B34" s="12">
        <v>99500</v>
      </c>
    </row>
    <row r="35" spans="2:2" x14ac:dyDescent="0.2">
      <c r="B35" s="12">
        <v>103000</v>
      </c>
    </row>
    <row r="36" spans="2:2" x14ac:dyDescent="0.2">
      <c r="B36" s="12">
        <v>103500</v>
      </c>
    </row>
    <row r="37" spans="2:2" x14ac:dyDescent="0.2">
      <c r="B37" s="12">
        <v>165000</v>
      </c>
    </row>
    <row r="38" spans="2:2" x14ac:dyDescent="0.2">
      <c r="B38" s="12">
        <v>124500</v>
      </c>
    </row>
    <row r="39" spans="2:2" x14ac:dyDescent="0.2">
      <c r="B39" s="12">
        <v>103500</v>
      </c>
    </row>
    <row r="40" spans="2:2" x14ac:dyDescent="0.2">
      <c r="B40" s="12">
        <v>82500</v>
      </c>
    </row>
    <row r="41" spans="2:2" x14ac:dyDescent="0.2">
      <c r="B41" s="12">
        <v>93000</v>
      </c>
    </row>
    <row r="42" spans="2:2" x14ac:dyDescent="0.2">
      <c r="B42" s="12">
        <v>168000</v>
      </c>
    </row>
    <row r="43" spans="2:2" x14ac:dyDescent="0.2">
      <c r="B43" s="12">
        <v>96000</v>
      </c>
    </row>
    <row r="44" spans="2:2" x14ac:dyDescent="0.2">
      <c r="B44" s="12">
        <v>80000</v>
      </c>
    </row>
    <row r="45" spans="2:2" x14ac:dyDescent="0.2">
      <c r="B45" s="12">
        <v>124500</v>
      </c>
    </row>
    <row r="46" spans="2:2" x14ac:dyDescent="0.2">
      <c r="B46" s="12">
        <v>99000</v>
      </c>
    </row>
    <row r="47" spans="2:2" x14ac:dyDescent="0.2">
      <c r="B47" s="12">
        <v>124000</v>
      </c>
    </row>
    <row r="48" spans="2:2" x14ac:dyDescent="0.2">
      <c r="B48" s="12">
        <v>91500</v>
      </c>
    </row>
    <row r="49" spans="2:2" x14ac:dyDescent="0.2">
      <c r="B49" s="12">
        <v>144500</v>
      </c>
    </row>
    <row r="50" spans="2:2" x14ac:dyDescent="0.2">
      <c r="B50" s="12">
        <v>114500</v>
      </c>
    </row>
    <row r="51" spans="2:2" x14ac:dyDescent="0.2">
      <c r="B51" s="12">
        <v>104500</v>
      </c>
    </row>
    <row r="52" spans="2:2" x14ac:dyDescent="0.2">
      <c r="B52" s="12">
        <v>124000</v>
      </c>
    </row>
    <row r="53" spans="2:2" x14ac:dyDescent="0.2">
      <c r="B53" s="12">
        <v>113000</v>
      </c>
    </row>
    <row r="54" spans="2:2" x14ac:dyDescent="0.2">
      <c r="B54" s="12">
        <v>78000</v>
      </c>
    </row>
    <row r="55" spans="2:2" x14ac:dyDescent="0.2">
      <c r="B55" s="12">
        <v>109000</v>
      </c>
    </row>
    <row r="56" spans="2:2" x14ac:dyDescent="0.2">
      <c r="B56" s="12">
        <v>99500</v>
      </c>
    </row>
    <row r="57" spans="2:2" x14ac:dyDescent="0.2">
      <c r="B57" s="12">
        <v>107000</v>
      </c>
    </row>
    <row r="58" spans="2:2" x14ac:dyDescent="0.2">
      <c r="B58" s="12">
        <v>84000</v>
      </c>
    </row>
  </sheetData>
  <mergeCells count="3">
    <mergeCell ref="D5:E5"/>
    <mergeCell ref="G5:H5"/>
    <mergeCell ref="J5:K5"/>
  </mergeCells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DA78A-9F6B-45C7-B050-FAD1CFABC2C5}">
  <sheetPr codeName="Sheet31">
    <tabColor theme="9" tint="0.79998168889431442"/>
  </sheetPr>
  <dimension ref="B1:K100"/>
  <sheetViews>
    <sheetView showGridLines="0" workbookViewId="0">
      <selection activeCell="E11" sqref="E11"/>
    </sheetView>
  </sheetViews>
  <sheetFormatPr baseColWidth="10" defaultColWidth="8.83203125" defaultRowHeight="15" x14ac:dyDescent="0.2"/>
  <cols>
    <col min="1" max="1" width="2.83203125" customWidth="1"/>
    <col min="2" max="2" width="17" customWidth="1"/>
    <col min="4" max="4" width="12.83203125" customWidth="1"/>
    <col min="5" max="5" width="11.5" customWidth="1"/>
    <col min="7" max="7" width="20" customWidth="1"/>
    <col min="8" max="8" width="9.5" bestFit="1" customWidth="1"/>
    <col min="10" max="10" width="14.33203125" customWidth="1"/>
    <col min="11" max="11" width="11.5" customWidth="1"/>
  </cols>
  <sheetData>
    <row r="1" spans="2:11" ht="25.5" customHeight="1" x14ac:dyDescent="0.25">
      <c r="B1" s="39" t="s">
        <v>160</v>
      </c>
    </row>
    <row r="2" spans="2:11" ht="15" customHeight="1" x14ac:dyDescent="0.2">
      <c r="B2" s="30" t="s">
        <v>161</v>
      </c>
    </row>
    <row r="3" spans="2:11" ht="18" customHeight="1" x14ac:dyDescent="0.2"/>
    <row r="4" spans="2:11" x14ac:dyDescent="0.2">
      <c r="D4" s="3" t="s">
        <v>54</v>
      </c>
      <c r="G4" s="3" t="s">
        <v>54</v>
      </c>
      <c r="J4" s="3" t="s">
        <v>54</v>
      </c>
    </row>
    <row r="5" spans="2:11" x14ac:dyDescent="0.2">
      <c r="B5" s="7" t="s">
        <v>21</v>
      </c>
      <c r="D5" s="115" t="s">
        <v>139</v>
      </c>
      <c r="E5" s="115"/>
      <c r="G5" s="115" t="s">
        <v>141</v>
      </c>
      <c r="H5" s="115"/>
      <c r="J5" s="115" t="s">
        <v>147</v>
      </c>
      <c r="K5" s="115"/>
    </row>
    <row r="6" spans="2:11" x14ac:dyDescent="0.2">
      <c r="B6" s="8" t="s">
        <v>25</v>
      </c>
      <c r="D6" s="20" t="s">
        <v>71</v>
      </c>
      <c r="E6" s="71">
        <f>COUNTA(B6:B100)</f>
        <v>95</v>
      </c>
      <c r="G6" s="20" t="s">
        <v>142</v>
      </c>
      <c r="H6" s="82">
        <v>0.9</v>
      </c>
      <c r="J6" s="20" t="s">
        <v>148</v>
      </c>
      <c r="K6" s="82">
        <f>E7-H11</f>
        <v>0.1698162967729179</v>
      </c>
    </row>
    <row r="7" spans="2:11" x14ac:dyDescent="0.2">
      <c r="B7" s="8" t="s">
        <v>25</v>
      </c>
      <c r="D7" s="20" t="s">
        <v>158</v>
      </c>
      <c r="E7" s="87">
        <f>COUNTIFS(B6:B100,"Yes")/E6</f>
        <v>0.24210526315789474</v>
      </c>
      <c r="G7" s="20" t="s">
        <v>143</v>
      </c>
      <c r="H7" s="82">
        <f>1-H6</f>
        <v>9.9999999999999978E-2</v>
      </c>
      <c r="J7" s="20" t="s">
        <v>149</v>
      </c>
      <c r="K7" s="82">
        <f>E7+H11</f>
        <v>0.31439422954287155</v>
      </c>
    </row>
    <row r="8" spans="2:11" x14ac:dyDescent="0.2">
      <c r="B8" s="8" t="s">
        <v>27</v>
      </c>
      <c r="D8" s="20" t="s">
        <v>159</v>
      </c>
      <c r="E8" s="87">
        <f>1-E7</f>
        <v>0.75789473684210529</v>
      </c>
      <c r="G8" s="20" t="s">
        <v>144</v>
      </c>
      <c r="H8" s="85">
        <f>H7/2</f>
        <v>4.9999999999999989E-2</v>
      </c>
    </row>
    <row r="9" spans="2:11" x14ac:dyDescent="0.2">
      <c r="B9" s="8" t="s">
        <v>25</v>
      </c>
      <c r="G9" s="20" t="s">
        <v>152</v>
      </c>
      <c r="H9" s="86">
        <f>_xlfn.NORM.S.INV(1-H8)</f>
        <v>1.6448536269514715</v>
      </c>
    </row>
    <row r="10" spans="2:11" x14ac:dyDescent="0.2">
      <c r="B10" s="8" t="s">
        <v>25</v>
      </c>
      <c r="D10" s="115" t="s">
        <v>163</v>
      </c>
      <c r="E10" s="115"/>
      <c r="G10" s="20" t="s">
        <v>146</v>
      </c>
      <c r="H10" s="81">
        <f>SQRT(E7*E8/E6)</f>
        <v>4.394857098558691E-2</v>
      </c>
    </row>
    <row r="11" spans="2:11" x14ac:dyDescent="0.2">
      <c r="B11" s="8" t="s">
        <v>25</v>
      </c>
      <c r="D11" s="20" t="s">
        <v>164</v>
      </c>
      <c r="E11" s="71" t="str">
        <f>IF(E7*E6&gt;5,"Yes","No")</f>
        <v>Yes</v>
      </c>
      <c r="G11" s="20" t="s">
        <v>150</v>
      </c>
      <c r="H11" s="87">
        <f>H9*H10</f>
        <v>7.2288966384976838E-2</v>
      </c>
    </row>
    <row r="12" spans="2:11" x14ac:dyDescent="0.2">
      <c r="B12" s="8" t="s">
        <v>25</v>
      </c>
      <c r="D12" s="20" t="s">
        <v>165</v>
      </c>
      <c r="E12" s="87" t="str">
        <f>IF(E8*E6&gt;5,"Yes","No")</f>
        <v>Yes</v>
      </c>
    </row>
    <row r="13" spans="2:11" x14ac:dyDescent="0.2">
      <c r="B13" s="8" t="s">
        <v>25</v>
      </c>
    </row>
    <row r="14" spans="2:11" x14ac:dyDescent="0.2">
      <c r="B14" s="8" t="s">
        <v>25</v>
      </c>
    </row>
    <row r="15" spans="2:11" x14ac:dyDescent="0.2">
      <c r="B15" s="8" t="s">
        <v>25</v>
      </c>
    </row>
    <row r="16" spans="2:11" x14ac:dyDescent="0.2">
      <c r="B16" s="8" t="s">
        <v>25</v>
      </c>
    </row>
    <row r="17" spans="2:2" x14ac:dyDescent="0.2">
      <c r="B17" s="8" t="s">
        <v>25</v>
      </c>
    </row>
    <row r="18" spans="2:2" x14ac:dyDescent="0.2">
      <c r="B18" s="8" t="s">
        <v>25</v>
      </c>
    </row>
    <row r="19" spans="2:2" x14ac:dyDescent="0.2">
      <c r="B19" s="8" t="s">
        <v>25</v>
      </c>
    </row>
    <row r="20" spans="2:2" x14ac:dyDescent="0.2">
      <c r="B20" s="8" t="s">
        <v>25</v>
      </c>
    </row>
    <row r="21" spans="2:2" x14ac:dyDescent="0.2">
      <c r="B21" s="8" t="s">
        <v>25</v>
      </c>
    </row>
    <row r="22" spans="2:2" x14ac:dyDescent="0.2">
      <c r="B22" s="8" t="s">
        <v>27</v>
      </c>
    </row>
    <row r="23" spans="2:2" x14ac:dyDescent="0.2">
      <c r="B23" s="8" t="s">
        <v>25</v>
      </c>
    </row>
    <row r="24" spans="2:2" x14ac:dyDescent="0.2">
      <c r="B24" s="8" t="s">
        <v>25</v>
      </c>
    </row>
    <row r="25" spans="2:2" x14ac:dyDescent="0.2">
      <c r="B25" s="8" t="s">
        <v>25</v>
      </c>
    </row>
    <row r="26" spans="2:2" x14ac:dyDescent="0.2">
      <c r="B26" s="8" t="s">
        <v>25</v>
      </c>
    </row>
    <row r="27" spans="2:2" x14ac:dyDescent="0.2">
      <c r="B27" s="8" t="s">
        <v>25</v>
      </c>
    </row>
    <row r="28" spans="2:2" x14ac:dyDescent="0.2">
      <c r="B28" s="8" t="s">
        <v>25</v>
      </c>
    </row>
    <row r="29" spans="2:2" x14ac:dyDescent="0.2">
      <c r="B29" s="8" t="s">
        <v>25</v>
      </c>
    </row>
    <row r="30" spans="2:2" x14ac:dyDescent="0.2">
      <c r="B30" s="8" t="s">
        <v>25</v>
      </c>
    </row>
    <row r="31" spans="2:2" x14ac:dyDescent="0.2">
      <c r="B31" s="8" t="s">
        <v>25</v>
      </c>
    </row>
    <row r="32" spans="2:2" x14ac:dyDescent="0.2">
      <c r="B32" s="8" t="s">
        <v>25</v>
      </c>
    </row>
    <row r="33" spans="2:2" x14ac:dyDescent="0.2">
      <c r="B33" s="8" t="s">
        <v>25</v>
      </c>
    </row>
    <row r="34" spans="2:2" x14ac:dyDescent="0.2">
      <c r="B34" s="8" t="s">
        <v>25</v>
      </c>
    </row>
    <row r="35" spans="2:2" x14ac:dyDescent="0.2">
      <c r="B35" s="8" t="s">
        <v>25</v>
      </c>
    </row>
    <row r="36" spans="2:2" x14ac:dyDescent="0.2">
      <c r="B36" s="8" t="s">
        <v>25</v>
      </c>
    </row>
    <row r="37" spans="2:2" x14ac:dyDescent="0.2">
      <c r="B37" s="8" t="s">
        <v>25</v>
      </c>
    </row>
    <row r="38" spans="2:2" x14ac:dyDescent="0.2">
      <c r="B38" s="8" t="s">
        <v>25</v>
      </c>
    </row>
    <row r="39" spans="2:2" x14ac:dyDescent="0.2">
      <c r="B39" s="8" t="s">
        <v>27</v>
      </c>
    </row>
    <row r="40" spans="2:2" x14ac:dyDescent="0.2">
      <c r="B40" s="8" t="s">
        <v>25</v>
      </c>
    </row>
    <row r="41" spans="2:2" x14ac:dyDescent="0.2">
      <c r="B41" s="8" t="s">
        <v>25</v>
      </c>
    </row>
    <row r="42" spans="2:2" x14ac:dyDescent="0.2">
      <c r="B42" s="8" t="s">
        <v>27</v>
      </c>
    </row>
    <row r="43" spans="2:2" x14ac:dyDescent="0.2">
      <c r="B43" s="8" t="s">
        <v>25</v>
      </c>
    </row>
    <row r="44" spans="2:2" x14ac:dyDescent="0.2">
      <c r="B44" s="8" t="s">
        <v>25</v>
      </c>
    </row>
    <row r="45" spans="2:2" x14ac:dyDescent="0.2">
      <c r="B45" s="8" t="s">
        <v>27</v>
      </c>
    </row>
    <row r="46" spans="2:2" x14ac:dyDescent="0.2">
      <c r="B46" s="8" t="s">
        <v>25</v>
      </c>
    </row>
    <row r="47" spans="2:2" x14ac:dyDescent="0.2">
      <c r="B47" s="8" t="s">
        <v>27</v>
      </c>
    </row>
    <row r="48" spans="2:2" x14ac:dyDescent="0.2">
      <c r="B48" s="8" t="s">
        <v>27</v>
      </c>
    </row>
    <row r="49" spans="2:2" x14ac:dyDescent="0.2">
      <c r="B49" s="8" t="s">
        <v>25</v>
      </c>
    </row>
    <row r="50" spans="2:2" x14ac:dyDescent="0.2">
      <c r="B50" s="8" t="s">
        <v>25</v>
      </c>
    </row>
    <row r="51" spans="2:2" x14ac:dyDescent="0.2">
      <c r="B51" s="8" t="s">
        <v>27</v>
      </c>
    </row>
    <row r="52" spans="2:2" x14ac:dyDescent="0.2">
      <c r="B52" s="8" t="s">
        <v>25</v>
      </c>
    </row>
    <row r="53" spans="2:2" x14ac:dyDescent="0.2">
      <c r="B53" s="8" t="s">
        <v>25</v>
      </c>
    </row>
    <row r="54" spans="2:2" x14ac:dyDescent="0.2">
      <c r="B54" s="8" t="s">
        <v>25</v>
      </c>
    </row>
    <row r="55" spans="2:2" x14ac:dyDescent="0.2">
      <c r="B55" s="8" t="s">
        <v>25</v>
      </c>
    </row>
    <row r="56" spans="2:2" x14ac:dyDescent="0.2">
      <c r="B56" s="8" t="s">
        <v>27</v>
      </c>
    </row>
    <row r="57" spans="2:2" x14ac:dyDescent="0.2">
      <c r="B57" s="8" t="s">
        <v>25</v>
      </c>
    </row>
    <row r="58" spans="2:2" x14ac:dyDescent="0.2">
      <c r="B58" s="8" t="s">
        <v>27</v>
      </c>
    </row>
    <row r="59" spans="2:2" x14ac:dyDescent="0.2">
      <c r="B59" s="8" t="s">
        <v>27</v>
      </c>
    </row>
    <row r="60" spans="2:2" x14ac:dyDescent="0.2">
      <c r="B60" s="8" t="s">
        <v>27</v>
      </c>
    </row>
    <row r="61" spans="2:2" x14ac:dyDescent="0.2">
      <c r="B61" s="8" t="s">
        <v>25</v>
      </c>
    </row>
    <row r="62" spans="2:2" x14ac:dyDescent="0.2">
      <c r="B62" s="8" t="s">
        <v>27</v>
      </c>
    </row>
    <row r="63" spans="2:2" x14ac:dyDescent="0.2">
      <c r="B63" s="8" t="s">
        <v>27</v>
      </c>
    </row>
    <row r="64" spans="2:2" x14ac:dyDescent="0.2">
      <c r="B64" s="8" t="s">
        <v>27</v>
      </c>
    </row>
    <row r="65" spans="2:2" x14ac:dyDescent="0.2">
      <c r="B65" s="8" t="s">
        <v>25</v>
      </c>
    </row>
    <row r="66" spans="2:2" x14ac:dyDescent="0.2">
      <c r="B66" s="8" t="s">
        <v>25</v>
      </c>
    </row>
    <row r="67" spans="2:2" x14ac:dyDescent="0.2">
      <c r="B67" s="8" t="s">
        <v>25</v>
      </c>
    </row>
    <row r="68" spans="2:2" x14ac:dyDescent="0.2">
      <c r="B68" s="8" t="s">
        <v>25</v>
      </c>
    </row>
    <row r="69" spans="2:2" x14ac:dyDescent="0.2">
      <c r="B69" s="8" t="s">
        <v>25</v>
      </c>
    </row>
    <row r="70" spans="2:2" x14ac:dyDescent="0.2">
      <c r="B70" s="8" t="s">
        <v>27</v>
      </c>
    </row>
    <row r="71" spans="2:2" x14ac:dyDescent="0.2">
      <c r="B71" s="8" t="s">
        <v>27</v>
      </c>
    </row>
    <row r="72" spans="2:2" x14ac:dyDescent="0.2">
      <c r="B72" s="8" t="s">
        <v>27</v>
      </c>
    </row>
    <row r="73" spans="2:2" x14ac:dyDescent="0.2">
      <c r="B73" s="8" t="s">
        <v>25</v>
      </c>
    </row>
    <row r="74" spans="2:2" x14ac:dyDescent="0.2">
      <c r="B74" s="8" t="s">
        <v>27</v>
      </c>
    </row>
    <row r="75" spans="2:2" x14ac:dyDescent="0.2">
      <c r="B75" s="8" t="s">
        <v>25</v>
      </c>
    </row>
    <row r="76" spans="2:2" x14ac:dyDescent="0.2">
      <c r="B76" s="8" t="s">
        <v>27</v>
      </c>
    </row>
    <row r="77" spans="2:2" x14ac:dyDescent="0.2">
      <c r="B77" s="8" t="s">
        <v>27</v>
      </c>
    </row>
    <row r="78" spans="2:2" x14ac:dyDescent="0.2">
      <c r="B78" s="8" t="s">
        <v>25</v>
      </c>
    </row>
    <row r="79" spans="2:2" x14ac:dyDescent="0.2">
      <c r="B79" s="8" t="s">
        <v>25</v>
      </c>
    </row>
    <row r="80" spans="2:2" x14ac:dyDescent="0.2">
      <c r="B80" s="8" t="s">
        <v>25</v>
      </c>
    </row>
    <row r="81" spans="2:2" x14ac:dyDescent="0.2">
      <c r="B81" s="8" t="s">
        <v>25</v>
      </c>
    </row>
    <row r="82" spans="2:2" x14ac:dyDescent="0.2">
      <c r="B82" s="8" t="s">
        <v>25</v>
      </c>
    </row>
    <row r="83" spans="2:2" x14ac:dyDescent="0.2">
      <c r="B83" s="8" t="s">
        <v>25</v>
      </c>
    </row>
    <row r="84" spans="2:2" x14ac:dyDescent="0.2">
      <c r="B84" s="8" t="s">
        <v>25</v>
      </c>
    </row>
    <row r="85" spans="2:2" x14ac:dyDescent="0.2">
      <c r="B85" s="8" t="s">
        <v>25</v>
      </c>
    </row>
    <row r="86" spans="2:2" x14ac:dyDescent="0.2">
      <c r="B86" s="8" t="s">
        <v>25</v>
      </c>
    </row>
    <row r="87" spans="2:2" x14ac:dyDescent="0.2">
      <c r="B87" s="8" t="s">
        <v>25</v>
      </c>
    </row>
    <row r="88" spans="2:2" x14ac:dyDescent="0.2">
      <c r="B88" s="8" t="s">
        <v>25</v>
      </c>
    </row>
    <row r="89" spans="2:2" x14ac:dyDescent="0.2">
      <c r="B89" s="8" t="s">
        <v>25</v>
      </c>
    </row>
    <row r="90" spans="2:2" x14ac:dyDescent="0.2">
      <c r="B90" s="8" t="s">
        <v>27</v>
      </c>
    </row>
    <row r="91" spans="2:2" x14ac:dyDescent="0.2">
      <c r="B91" s="8" t="s">
        <v>27</v>
      </c>
    </row>
    <row r="92" spans="2:2" x14ac:dyDescent="0.2">
      <c r="B92" s="8" t="s">
        <v>25</v>
      </c>
    </row>
    <row r="93" spans="2:2" x14ac:dyDescent="0.2">
      <c r="B93" s="8" t="s">
        <v>25</v>
      </c>
    </row>
    <row r="94" spans="2:2" x14ac:dyDescent="0.2">
      <c r="B94" s="8" t="s">
        <v>25</v>
      </c>
    </row>
    <row r="95" spans="2:2" x14ac:dyDescent="0.2">
      <c r="B95" s="8" t="s">
        <v>25</v>
      </c>
    </row>
    <row r="96" spans="2:2" x14ac:dyDescent="0.2">
      <c r="B96" s="8" t="s">
        <v>25</v>
      </c>
    </row>
    <row r="97" spans="2:2" x14ac:dyDescent="0.2">
      <c r="B97" s="8" t="s">
        <v>25</v>
      </c>
    </row>
    <row r="98" spans="2:2" x14ac:dyDescent="0.2">
      <c r="B98" s="8" t="s">
        <v>25</v>
      </c>
    </row>
    <row r="99" spans="2:2" x14ac:dyDescent="0.2">
      <c r="B99" s="8" t="s">
        <v>25</v>
      </c>
    </row>
    <row r="100" spans="2:2" x14ac:dyDescent="0.2">
      <c r="B100" s="8" t="s">
        <v>25</v>
      </c>
    </row>
  </sheetData>
  <mergeCells count="4">
    <mergeCell ref="D5:E5"/>
    <mergeCell ref="G5:H5"/>
    <mergeCell ref="J5:K5"/>
    <mergeCell ref="D10:E10"/>
  </mergeCells>
  <pageMargins left="0.7" right="0.7" top="0.75" bottom="0.75" header="0.3" footer="0.3"/>
  <pageSetup orientation="portrait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F274B-36F9-4ECA-9983-9B824BAE41FE}">
  <sheetPr codeName="Sheet32">
    <tabColor theme="9" tint="0.59999389629810485"/>
  </sheetPr>
  <dimension ref="B1:K100"/>
  <sheetViews>
    <sheetView showGridLines="0" workbookViewId="0">
      <selection activeCell="I6" sqref="I6"/>
    </sheetView>
  </sheetViews>
  <sheetFormatPr baseColWidth="10" defaultColWidth="8.83203125" defaultRowHeight="15" x14ac:dyDescent="0.2"/>
  <cols>
    <col min="1" max="1" width="2.83203125" customWidth="1"/>
    <col min="2" max="2" width="11.5" customWidth="1"/>
    <col min="4" max="4" width="12.83203125" customWidth="1"/>
    <col min="5" max="5" width="11.5" customWidth="1"/>
    <col min="7" max="7" width="20" customWidth="1"/>
    <col min="8" max="8" width="9.5" bestFit="1" customWidth="1"/>
    <col min="10" max="10" width="14.33203125" customWidth="1"/>
    <col min="11" max="11" width="11.5" customWidth="1"/>
  </cols>
  <sheetData>
    <row r="1" spans="2:11" ht="25.5" customHeight="1" x14ac:dyDescent="0.25">
      <c r="B1" s="18" t="s">
        <v>162</v>
      </c>
    </row>
    <row r="2" spans="2:11" ht="15" customHeight="1" x14ac:dyDescent="0.2">
      <c r="B2" s="30" t="s">
        <v>161</v>
      </c>
    </row>
    <row r="3" spans="2:11" ht="18" customHeight="1" x14ac:dyDescent="0.2"/>
    <row r="4" spans="2:11" x14ac:dyDescent="0.2">
      <c r="D4" s="3" t="s">
        <v>54</v>
      </c>
      <c r="G4" s="3" t="s">
        <v>54</v>
      </c>
      <c r="J4" s="3" t="s">
        <v>54</v>
      </c>
    </row>
    <row r="5" spans="2:11" x14ac:dyDescent="0.2">
      <c r="B5" s="7" t="s">
        <v>12</v>
      </c>
      <c r="D5" s="115" t="s">
        <v>139</v>
      </c>
      <c r="E5" s="115"/>
      <c r="G5" s="115" t="s">
        <v>141</v>
      </c>
      <c r="H5" s="115"/>
      <c r="J5" s="115" t="s">
        <v>147</v>
      </c>
      <c r="K5" s="115"/>
    </row>
    <row r="6" spans="2:11" x14ac:dyDescent="0.2">
      <c r="B6" s="8" t="s">
        <v>13</v>
      </c>
      <c r="D6" s="20" t="s">
        <v>71</v>
      </c>
      <c r="E6" s="71">
        <f>COUNTA(B6:B100)</f>
        <v>95</v>
      </c>
      <c r="G6" s="20" t="s">
        <v>142</v>
      </c>
      <c r="H6" s="82">
        <v>0.95</v>
      </c>
      <c r="J6" s="20" t="s">
        <v>148</v>
      </c>
      <c r="K6" s="82">
        <f>E7-H11</f>
        <v>0.45802698737891206</v>
      </c>
    </row>
    <row r="7" spans="2:11" x14ac:dyDescent="0.2">
      <c r="B7" s="8" t="s">
        <v>14</v>
      </c>
      <c r="D7" s="20" t="s">
        <v>158</v>
      </c>
      <c r="E7" s="87">
        <f>COUNTIFS(B6:B100,"Placed")/E6</f>
        <v>0.55789473684210522</v>
      </c>
      <c r="G7" s="20" t="s">
        <v>143</v>
      </c>
      <c r="H7" s="82">
        <f>1-H6</f>
        <v>5.0000000000000044E-2</v>
      </c>
      <c r="J7" s="20" t="s">
        <v>149</v>
      </c>
      <c r="K7" s="82">
        <f>E7+H11</f>
        <v>0.65776248630529843</v>
      </c>
    </row>
    <row r="8" spans="2:11" x14ac:dyDescent="0.2">
      <c r="B8" s="8" t="s">
        <v>13</v>
      </c>
      <c r="D8" s="20" t="s">
        <v>159</v>
      </c>
      <c r="E8" s="87">
        <f>1-E7</f>
        <v>0.44210526315789478</v>
      </c>
      <c r="G8" s="20" t="s">
        <v>144</v>
      </c>
      <c r="H8" s="85">
        <f>H7/2</f>
        <v>2.5000000000000022E-2</v>
      </c>
    </row>
    <row r="9" spans="2:11" x14ac:dyDescent="0.2">
      <c r="B9" s="8" t="s">
        <v>14</v>
      </c>
      <c r="G9" s="20" t="s">
        <v>152</v>
      </c>
      <c r="H9" s="86">
        <f>_xlfn.NORM.S.INV(1-H8)</f>
        <v>1.9599639845400536</v>
      </c>
    </row>
    <row r="10" spans="2:11" x14ac:dyDescent="0.2">
      <c r="B10" s="8" t="s">
        <v>14</v>
      </c>
      <c r="D10" s="115" t="s">
        <v>163</v>
      </c>
      <c r="E10" s="115"/>
      <c r="G10" s="20" t="s">
        <v>146</v>
      </c>
      <c r="H10" s="104">
        <f>SQRT(E7*E8/E6)</f>
        <v>5.0953869688901053E-2</v>
      </c>
    </row>
    <row r="11" spans="2:11" x14ac:dyDescent="0.2">
      <c r="B11" s="8" t="s">
        <v>14</v>
      </c>
      <c r="D11" s="20" t="s">
        <v>164</v>
      </c>
      <c r="E11" s="71" t="str">
        <f>IF(E7*E6&gt;5,"Yes","No")</f>
        <v>Yes</v>
      </c>
      <c r="G11" s="20" t="s">
        <v>150</v>
      </c>
      <c r="H11" s="87">
        <f>H9*H10</f>
        <v>9.986774946319317E-2</v>
      </c>
    </row>
    <row r="12" spans="2:11" x14ac:dyDescent="0.2">
      <c r="B12" s="8" t="s">
        <v>13</v>
      </c>
      <c r="D12" s="20" t="s">
        <v>165</v>
      </c>
      <c r="E12" s="71" t="str">
        <f>IF(E8*E6&gt;5,"Yes","No")</f>
        <v>Yes</v>
      </c>
    </row>
    <row r="13" spans="2:11" x14ac:dyDescent="0.2">
      <c r="B13" s="8" t="s">
        <v>13</v>
      </c>
      <c r="D13" s="20"/>
      <c r="E13" s="38"/>
    </row>
    <row r="14" spans="2:11" x14ac:dyDescent="0.2">
      <c r="B14" s="8" t="s">
        <v>13</v>
      </c>
    </row>
    <row r="15" spans="2:11" x14ac:dyDescent="0.2">
      <c r="B15" s="8" t="s">
        <v>13</v>
      </c>
    </row>
    <row r="16" spans="2:11" x14ac:dyDescent="0.2">
      <c r="B16" s="8" t="s">
        <v>14</v>
      </c>
    </row>
    <row r="17" spans="2:2" x14ac:dyDescent="0.2">
      <c r="B17" s="8" t="s">
        <v>13</v>
      </c>
    </row>
    <row r="18" spans="2:2" x14ac:dyDescent="0.2">
      <c r="B18" s="8" t="s">
        <v>14</v>
      </c>
    </row>
    <row r="19" spans="2:2" x14ac:dyDescent="0.2">
      <c r="B19" s="8" t="s">
        <v>13</v>
      </c>
    </row>
    <row r="20" spans="2:2" x14ac:dyDescent="0.2">
      <c r="B20" s="8" t="s">
        <v>13</v>
      </c>
    </row>
    <row r="21" spans="2:2" x14ac:dyDescent="0.2">
      <c r="B21" s="8" t="s">
        <v>13</v>
      </c>
    </row>
    <row r="22" spans="2:2" x14ac:dyDescent="0.2">
      <c r="B22" s="8" t="s">
        <v>14</v>
      </c>
    </row>
    <row r="23" spans="2:2" x14ac:dyDescent="0.2">
      <c r="B23" s="8" t="s">
        <v>13</v>
      </c>
    </row>
    <row r="24" spans="2:2" x14ac:dyDescent="0.2">
      <c r="B24" s="8" t="s">
        <v>14</v>
      </c>
    </row>
    <row r="25" spans="2:2" x14ac:dyDescent="0.2">
      <c r="B25" s="8" t="s">
        <v>14</v>
      </c>
    </row>
    <row r="26" spans="2:2" x14ac:dyDescent="0.2">
      <c r="B26" s="8" t="s">
        <v>14</v>
      </c>
    </row>
    <row r="27" spans="2:2" x14ac:dyDescent="0.2">
      <c r="B27" s="8" t="s">
        <v>13</v>
      </c>
    </row>
    <row r="28" spans="2:2" x14ac:dyDescent="0.2">
      <c r="B28" s="8" t="s">
        <v>14</v>
      </c>
    </row>
    <row r="29" spans="2:2" x14ac:dyDescent="0.2">
      <c r="B29" s="8" t="s">
        <v>14</v>
      </c>
    </row>
    <row r="30" spans="2:2" x14ac:dyDescent="0.2">
      <c r="B30" s="8" t="s">
        <v>13</v>
      </c>
    </row>
    <row r="31" spans="2:2" x14ac:dyDescent="0.2">
      <c r="B31" s="8" t="s">
        <v>13</v>
      </c>
    </row>
    <row r="32" spans="2:2" x14ac:dyDescent="0.2">
      <c r="B32" s="8" t="s">
        <v>13</v>
      </c>
    </row>
    <row r="33" spans="2:2" x14ac:dyDescent="0.2">
      <c r="B33" s="8" t="s">
        <v>14</v>
      </c>
    </row>
    <row r="34" spans="2:2" x14ac:dyDescent="0.2">
      <c r="B34" s="8" t="s">
        <v>14</v>
      </c>
    </row>
    <row r="35" spans="2:2" x14ac:dyDescent="0.2">
      <c r="B35" s="8" t="s">
        <v>13</v>
      </c>
    </row>
    <row r="36" spans="2:2" x14ac:dyDescent="0.2">
      <c r="B36" s="8" t="s">
        <v>14</v>
      </c>
    </row>
    <row r="37" spans="2:2" x14ac:dyDescent="0.2">
      <c r="B37" s="8" t="s">
        <v>14</v>
      </c>
    </row>
    <row r="38" spans="2:2" x14ac:dyDescent="0.2">
      <c r="B38" s="8" t="s">
        <v>14</v>
      </c>
    </row>
    <row r="39" spans="2:2" x14ac:dyDescent="0.2">
      <c r="B39" s="8" t="s">
        <v>13</v>
      </c>
    </row>
    <row r="40" spans="2:2" x14ac:dyDescent="0.2">
      <c r="B40" s="8" t="s">
        <v>14</v>
      </c>
    </row>
    <row r="41" spans="2:2" x14ac:dyDescent="0.2">
      <c r="B41" s="8" t="s">
        <v>13</v>
      </c>
    </row>
    <row r="42" spans="2:2" x14ac:dyDescent="0.2">
      <c r="B42" s="8" t="s">
        <v>13</v>
      </c>
    </row>
    <row r="43" spans="2:2" x14ac:dyDescent="0.2">
      <c r="B43" s="8" t="s">
        <v>14</v>
      </c>
    </row>
    <row r="44" spans="2:2" x14ac:dyDescent="0.2">
      <c r="B44" s="8" t="s">
        <v>14</v>
      </c>
    </row>
    <row r="45" spans="2:2" x14ac:dyDescent="0.2">
      <c r="B45" s="8" t="s">
        <v>14</v>
      </c>
    </row>
    <row r="46" spans="2:2" x14ac:dyDescent="0.2">
      <c r="B46" s="8" t="s">
        <v>13</v>
      </c>
    </row>
    <row r="47" spans="2:2" x14ac:dyDescent="0.2">
      <c r="B47" s="8" t="s">
        <v>13</v>
      </c>
    </row>
    <row r="48" spans="2:2" x14ac:dyDescent="0.2">
      <c r="B48" s="8" t="s">
        <v>13</v>
      </c>
    </row>
    <row r="49" spans="2:2" x14ac:dyDescent="0.2">
      <c r="B49" s="8" t="s">
        <v>14</v>
      </c>
    </row>
    <row r="50" spans="2:2" x14ac:dyDescent="0.2">
      <c r="B50" s="8" t="s">
        <v>13</v>
      </c>
    </row>
    <row r="51" spans="2:2" x14ac:dyDescent="0.2">
      <c r="B51" s="8" t="s">
        <v>14</v>
      </c>
    </row>
    <row r="52" spans="2:2" x14ac:dyDescent="0.2">
      <c r="B52" s="8" t="s">
        <v>13</v>
      </c>
    </row>
    <row r="53" spans="2:2" x14ac:dyDescent="0.2">
      <c r="B53" s="8" t="s">
        <v>14</v>
      </c>
    </row>
    <row r="54" spans="2:2" x14ac:dyDescent="0.2">
      <c r="B54" s="8" t="s">
        <v>13</v>
      </c>
    </row>
    <row r="55" spans="2:2" x14ac:dyDescent="0.2">
      <c r="B55" s="8" t="s">
        <v>13</v>
      </c>
    </row>
    <row r="56" spans="2:2" x14ac:dyDescent="0.2">
      <c r="B56" s="8" t="s">
        <v>13</v>
      </c>
    </row>
    <row r="57" spans="2:2" x14ac:dyDescent="0.2">
      <c r="B57" s="8" t="s">
        <v>14</v>
      </c>
    </row>
    <row r="58" spans="2:2" x14ac:dyDescent="0.2">
      <c r="B58" s="8" t="s">
        <v>13</v>
      </c>
    </row>
    <row r="59" spans="2:2" x14ac:dyDescent="0.2">
      <c r="B59" s="8" t="s">
        <v>13</v>
      </c>
    </row>
    <row r="60" spans="2:2" x14ac:dyDescent="0.2">
      <c r="B60" s="8" t="s">
        <v>13</v>
      </c>
    </row>
    <row r="61" spans="2:2" x14ac:dyDescent="0.2">
      <c r="B61" s="8" t="s">
        <v>13</v>
      </c>
    </row>
    <row r="62" spans="2:2" x14ac:dyDescent="0.2">
      <c r="B62" s="8" t="s">
        <v>13</v>
      </c>
    </row>
    <row r="63" spans="2:2" x14ac:dyDescent="0.2">
      <c r="B63" s="8" t="s">
        <v>13</v>
      </c>
    </row>
    <row r="64" spans="2:2" x14ac:dyDescent="0.2">
      <c r="B64" s="8" t="s">
        <v>13</v>
      </c>
    </row>
    <row r="65" spans="2:2" x14ac:dyDescent="0.2">
      <c r="B65" s="8" t="s">
        <v>13</v>
      </c>
    </row>
    <row r="66" spans="2:2" x14ac:dyDescent="0.2">
      <c r="B66" s="8" t="s">
        <v>13</v>
      </c>
    </row>
    <row r="67" spans="2:2" x14ac:dyDescent="0.2">
      <c r="B67" s="8" t="s">
        <v>14</v>
      </c>
    </row>
    <row r="68" spans="2:2" x14ac:dyDescent="0.2">
      <c r="B68" s="8" t="s">
        <v>13</v>
      </c>
    </row>
    <row r="69" spans="2:2" x14ac:dyDescent="0.2">
      <c r="B69" s="8" t="s">
        <v>13</v>
      </c>
    </row>
    <row r="70" spans="2:2" x14ac:dyDescent="0.2">
      <c r="B70" s="8" t="s">
        <v>14</v>
      </c>
    </row>
    <row r="71" spans="2:2" x14ac:dyDescent="0.2">
      <c r="B71" s="8" t="s">
        <v>14</v>
      </c>
    </row>
    <row r="72" spans="2:2" x14ac:dyDescent="0.2">
      <c r="B72" s="8" t="s">
        <v>13</v>
      </c>
    </row>
    <row r="73" spans="2:2" x14ac:dyDescent="0.2">
      <c r="B73" s="8" t="s">
        <v>14</v>
      </c>
    </row>
    <row r="74" spans="2:2" x14ac:dyDescent="0.2">
      <c r="B74" s="8" t="s">
        <v>13</v>
      </c>
    </row>
    <row r="75" spans="2:2" x14ac:dyDescent="0.2">
      <c r="B75" s="8" t="s">
        <v>14</v>
      </c>
    </row>
    <row r="76" spans="2:2" x14ac:dyDescent="0.2">
      <c r="B76" s="8" t="s">
        <v>13</v>
      </c>
    </row>
    <row r="77" spans="2:2" x14ac:dyDescent="0.2">
      <c r="B77" s="8" t="s">
        <v>14</v>
      </c>
    </row>
    <row r="78" spans="2:2" x14ac:dyDescent="0.2">
      <c r="B78" s="8" t="s">
        <v>14</v>
      </c>
    </row>
    <row r="79" spans="2:2" x14ac:dyDescent="0.2">
      <c r="B79" s="8" t="s">
        <v>14</v>
      </c>
    </row>
    <row r="80" spans="2:2" x14ac:dyDescent="0.2">
      <c r="B80" s="8" t="s">
        <v>13</v>
      </c>
    </row>
    <row r="81" spans="2:2" x14ac:dyDescent="0.2">
      <c r="B81" s="8" t="s">
        <v>14</v>
      </c>
    </row>
    <row r="82" spans="2:2" x14ac:dyDescent="0.2">
      <c r="B82" s="8" t="s">
        <v>14</v>
      </c>
    </row>
    <row r="83" spans="2:2" x14ac:dyDescent="0.2">
      <c r="B83" s="8" t="s">
        <v>13</v>
      </c>
    </row>
    <row r="84" spans="2:2" x14ac:dyDescent="0.2">
      <c r="B84" s="8" t="s">
        <v>13</v>
      </c>
    </row>
    <row r="85" spans="2:2" x14ac:dyDescent="0.2">
      <c r="B85" s="8" t="s">
        <v>14</v>
      </c>
    </row>
    <row r="86" spans="2:2" x14ac:dyDescent="0.2">
      <c r="B86" s="8" t="s">
        <v>14</v>
      </c>
    </row>
    <row r="87" spans="2:2" x14ac:dyDescent="0.2">
      <c r="B87" s="8" t="s">
        <v>13</v>
      </c>
    </row>
    <row r="88" spans="2:2" x14ac:dyDescent="0.2">
      <c r="B88" s="8" t="s">
        <v>14</v>
      </c>
    </row>
    <row r="89" spans="2:2" x14ac:dyDescent="0.2">
      <c r="B89" s="8" t="s">
        <v>13</v>
      </c>
    </row>
    <row r="90" spans="2:2" x14ac:dyDescent="0.2">
      <c r="B90" s="8" t="s">
        <v>13</v>
      </c>
    </row>
    <row r="91" spans="2:2" x14ac:dyDescent="0.2">
      <c r="B91" s="8" t="s">
        <v>13</v>
      </c>
    </row>
    <row r="92" spans="2:2" x14ac:dyDescent="0.2">
      <c r="B92" s="8" t="s">
        <v>13</v>
      </c>
    </row>
    <row r="93" spans="2:2" x14ac:dyDescent="0.2">
      <c r="B93" s="8" t="s">
        <v>14</v>
      </c>
    </row>
    <row r="94" spans="2:2" x14ac:dyDescent="0.2">
      <c r="B94" s="8" t="s">
        <v>13</v>
      </c>
    </row>
    <row r="95" spans="2:2" x14ac:dyDescent="0.2">
      <c r="B95" s="8" t="s">
        <v>14</v>
      </c>
    </row>
    <row r="96" spans="2:2" x14ac:dyDescent="0.2">
      <c r="B96" s="8" t="s">
        <v>13</v>
      </c>
    </row>
    <row r="97" spans="2:2" x14ac:dyDescent="0.2">
      <c r="B97" s="8" t="s">
        <v>13</v>
      </c>
    </row>
    <row r="98" spans="2:2" x14ac:dyDescent="0.2">
      <c r="B98" s="8" t="s">
        <v>14</v>
      </c>
    </row>
    <row r="99" spans="2:2" x14ac:dyDescent="0.2">
      <c r="B99" s="8" t="s">
        <v>13</v>
      </c>
    </row>
    <row r="100" spans="2:2" x14ac:dyDescent="0.2">
      <c r="B100" s="8" t="s">
        <v>14</v>
      </c>
    </row>
  </sheetData>
  <mergeCells count="4">
    <mergeCell ref="D5:E5"/>
    <mergeCell ref="G5:H5"/>
    <mergeCell ref="J5:K5"/>
    <mergeCell ref="D10:E10"/>
  </mergeCells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55C53-2B07-42B0-B919-B0D5FEFC1CE6}">
  <sheetPr codeName="Sheet33">
    <tabColor theme="9" tint="0.79998168889431442"/>
  </sheetPr>
  <dimension ref="B1:N100"/>
  <sheetViews>
    <sheetView showGridLines="0" topLeftCell="K3" workbookViewId="0">
      <selection activeCell="K9" sqref="K9"/>
    </sheetView>
  </sheetViews>
  <sheetFormatPr baseColWidth="10" defaultColWidth="8.83203125" defaultRowHeight="15" x14ac:dyDescent="0.2"/>
  <cols>
    <col min="1" max="1" width="2.83203125" customWidth="1"/>
    <col min="2" max="2" width="11.5" customWidth="1"/>
    <col min="3" max="3" width="17.1640625" customWidth="1"/>
    <col min="4" max="4" width="11.5" customWidth="1"/>
    <col min="5" max="5" width="11.33203125" customWidth="1"/>
    <col min="7" max="7" width="12.1640625" customWidth="1"/>
    <col min="8" max="8" width="11.5" customWidth="1"/>
    <col min="10" max="10" width="20" customWidth="1"/>
    <col min="11" max="11" width="9.5" bestFit="1" customWidth="1"/>
    <col min="13" max="13" width="14.33203125" customWidth="1"/>
    <col min="14" max="14" width="11.5" customWidth="1"/>
  </cols>
  <sheetData>
    <row r="1" spans="2:14" ht="25.5" customHeight="1" x14ac:dyDescent="0.25">
      <c r="B1" s="18" t="s">
        <v>170</v>
      </c>
    </row>
    <row r="2" spans="2:14" ht="15" customHeight="1" x14ac:dyDescent="0.2">
      <c r="B2" s="30" t="s">
        <v>171</v>
      </c>
    </row>
    <row r="3" spans="2:14" ht="18" customHeight="1" x14ac:dyDescent="0.2"/>
    <row r="4" spans="2:14" x14ac:dyDescent="0.2">
      <c r="G4" s="3" t="s">
        <v>54</v>
      </c>
      <c r="J4" s="3" t="s">
        <v>54</v>
      </c>
      <c r="M4" s="3" t="s">
        <v>54</v>
      </c>
    </row>
    <row r="5" spans="2:14" x14ac:dyDescent="0.2">
      <c r="B5" s="40" t="s">
        <v>20</v>
      </c>
      <c r="C5" s="43" t="s">
        <v>76</v>
      </c>
      <c r="D5" s="43" t="s">
        <v>77</v>
      </c>
      <c r="E5" s="42" t="s">
        <v>172</v>
      </c>
      <c r="G5" s="115" t="s">
        <v>139</v>
      </c>
      <c r="H5" s="115"/>
      <c r="J5" s="115" t="s">
        <v>141</v>
      </c>
      <c r="K5" s="115"/>
      <c r="M5" s="115" t="s">
        <v>147</v>
      </c>
      <c r="N5" s="115"/>
    </row>
    <row r="6" spans="2:14" x14ac:dyDescent="0.2">
      <c r="B6" s="8">
        <v>1</v>
      </c>
      <c r="C6" s="8">
        <v>68.400000000000006</v>
      </c>
      <c r="D6" s="8">
        <v>90.2</v>
      </c>
      <c r="E6" s="8">
        <f>D6-C6</f>
        <v>21.799999999999997</v>
      </c>
      <c r="G6" s="20" t="s">
        <v>71</v>
      </c>
      <c r="H6" s="71">
        <f>COUNT(E6:E100)</f>
        <v>95</v>
      </c>
      <c r="J6" s="20" t="s">
        <v>142</v>
      </c>
      <c r="K6" s="82">
        <v>0.95</v>
      </c>
      <c r="M6" s="20" t="s">
        <v>148</v>
      </c>
      <c r="N6" s="75">
        <f>H7-K11</f>
        <v>3.3167348695585517</v>
      </c>
    </row>
    <row r="7" spans="2:14" x14ac:dyDescent="0.2">
      <c r="B7" s="8">
        <v>2</v>
      </c>
      <c r="C7" s="8">
        <v>62.1</v>
      </c>
      <c r="D7" s="8">
        <v>92.8</v>
      </c>
      <c r="E7" s="8">
        <f t="shared" ref="E7:E70" si="0">D7-C7</f>
        <v>30.699999999999996</v>
      </c>
      <c r="G7" s="20" t="s">
        <v>46</v>
      </c>
      <c r="H7" s="72">
        <f>AVERAGE(E6:E100)</f>
        <v>5.1957894736842114</v>
      </c>
      <c r="J7" s="20" t="s">
        <v>143</v>
      </c>
      <c r="K7" s="82">
        <f>1-K6</f>
        <v>5.0000000000000044E-2</v>
      </c>
      <c r="M7" s="20" t="s">
        <v>149</v>
      </c>
      <c r="N7" s="75">
        <f>H7+K11</f>
        <v>7.0748440778098711</v>
      </c>
    </row>
    <row r="8" spans="2:14" x14ac:dyDescent="0.2">
      <c r="B8" s="8">
        <v>3</v>
      </c>
      <c r="C8" s="8">
        <v>70.2</v>
      </c>
      <c r="D8" s="8">
        <v>68.7</v>
      </c>
      <c r="E8" s="8">
        <f t="shared" si="0"/>
        <v>-1.5</v>
      </c>
      <c r="G8" s="20" t="s">
        <v>70</v>
      </c>
      <c r="H8" s="75">
        <f>_xlfn.STDEV.S(E6:E100)</f>
        <v>9.2241463398998604</v>
      </c>
      <c r="J8" s="20" t="s">
        <v>144</v>
      </c>
      <c r="K8" s="85">
        <f>K7/2</f>
        <v>2.5000000000000022E-2</v>
      </c>
    </row>
    <row r="9" spans="2:14" x14ac:dyDescent="0.2">
      <c r="B9" s="8">
        <v>4</v>
      </c>
      <c r="C9" s="8">
        <v>75.099999999999994</v>
      </c>
      <c r="D9" s="8">
        <v>80.7</v>
      </c>
      <c r="E9" s="8">
        <f t="shared" si="0"/>
        <v>5.6000000000000085</v>
      </c>
      <c r="J9" s="20" t="s">
        <v>156</v>
      </c>
      <c r="K9" s="86">
        <f>_xlfn.T.INV(1-K8,H6-1)</f>
        <v>1.9855234418666059</v>
      </c>
    </row>
    <row r="10" spans="2:14" x14ac:dyDescent="0.2">
      <c r="B10" s="8">
        <v>5</v>
      </c>
      <c r="C10" s="8">
        <v>60.9</v>
      </c>
      <c r="D10" s="8">
        <v>74.900000000000006</v>
      </c>
      <c r="E10" s="8">
        <f t="shared" si="0"/>
        <v>14.000000000000007</v>
      </c>
      <c r="J10" s="20" t="s">
        <v>146</v>
      </c>
      <c r="K10" s="75">
        <f>H8/SQRT(H6)</f>
        <v>0.94637744612027652</v>
      </c>
    </row>
    <row r="11" spans="2:14" x14ac:dyDescent="0.2">
      <c r="B11" s="8">
        <v>6</v>
      </c>
      <c r="C11" s="8">
        <v>74.5</v>
      </c>
      <c r="D11" s="8">
        <v>80.7</v>
      </c>
      <c r="E11" s="8">
        <f t="shared" si="0"/>
        <v>6.2000000000000028</v>
      </c>
      <c r="J11" s="20" t="s">
        <v>150</v>
      </c>
      <c r="K11" s="75">
        <f>K9*K10</f>
        <v>1.8790546041256597</v>
      </c>
    </row>
    <row r="12" spans="2:14" x14ac:dyDescent="0.2">
      <c r="B12" s="8">
        <v>7</v>
      </c>
      <c r="C12" s="8">
        <v>76.400000000000006</v>
      </c>
      <c r="D12" s="8">
        <v>83.3</v>
      </c>
      <c r="E12" s="8">
        <f t="shared" si="0"/>
        <v>6.8999999999999915</v>
      </c>
    </row>
    <row r="13" spans="2:14" x14ac:dyDescent="0.2">
      <c r="B13" s="8">
        <v>8</v>
      </c>
      <c r="C13" s="8">
        <v>82.6</v>
      </c>
      <c r="D13" s="8">
        <v>88.7</v>
      </c>
      <c r="E13" s="8">
        <f t="shared" si="0"/>
        <v>6.1000000000000085</v>
      </c>
    </row>
    <row r="14" spans="2:14" x14ac:dyDescent="0.2">
      <c r="B14" s="8">
        <v>9</v>
      </c>
      <c r="C14" s="8">
        <v>76.900000000000006</v>
      </c>
      <c r="D14" s="8">
        <v>75.400000000000006</v>
      </c>
      <c r="E14" s="8">
        <f t="shared" si="0"/>
        <v>-1.5</v>
      </c>
    </row>
    <row r="15" spans="2:14" x14ac:dyDescent="0.2">
      <c r="B15" s="8">
        <v>10</v>
      </c>
      <c r="C15" s="8">
        <v>83.3</v>
      </c>
      <c r="D15" s="8">
        <v>82.1</v>
      </c>
      <c r="E15" s="8">
        <f t="shared" si="0"/>
        <v>-1.2000000000000028</v>
      </c>
    </row>
    <row r="16" spans="2:14" x14ac:dyDescent="0.2">
      <c r="B16" s="8">
        <v>11</v>
      </c>
      <c r="C16" s="8">
        <v>75.8</v>
      </c>
      <c r="D16" s="8">
        <v>87.5</v>
      </c>
      <c r="E16" s="8">
        <f t="shared" si="0"/>
        <v>11.700000000000003</v>
      </c>
    </row>
    <row r="17" spans="2:5" x14ac:dyDescent="0.2">
      <c r="B17" s="8">
        <v>12</v>
      </c>
      <c r="C17" s="8">
        <v>76</v>
      </c>
      <c r="D17" s="8">
        <v>66.900000000000006</v>
      </c>
      <c r="E17" s="8">
        <f t="shared" si="0"/>
        <v>-9.0999999999999943</v>
      </c>
    </row>
    <row r="18" spans="2:5" x14ac:dyDescent="0.2">
      <c r="B18" s="8">
        <v>13</v>
      </c>
      <c r="C18" s="8">
        <v>62.8</v>
      </c>
      <c r="D18" s="8">
        <v>71.3</v>
      </c>
      <c r="E18" s="8">
        <f t="shared" si="0"/>
        <v>8.5</v>
      </c>
    </row>
    <row r="19" spans="2:5" x14ac:dyDescent="0.2">
      <c r="B19" s="8">
        <v>14</v>
      </c>
      <c r="C19" s="8">
        <v>82.8</v>
      </c>
      <c r="D19" s="8">
        <v>76.8</v>
      </c>
      <c r="E19" s="8">
        <f t="shared" si="0"/>
        <v>-6</v>
      </c>
    </row>
    <row r="20" spans="2:5" x14ac:dyDescent="0.2">
      <c r="B20" s="8">
        <v>15</v>
      </c>
      <c r="C20" s="8">
        <v>76</v>
      </c>
      <c r="D20" s="8">
        <v>72.3</v>
      </c>
      <c r="E20" s="8">
        <f t="shared" si="0"/>
        <v>-3.7000000000000028</v>
      </c>
    </row>
    <row r="21" spans="2:5" x14ac:dyDescent="0.2">
      <c r="B21" s="8">
        <v>16</v>
      </c>
      <c r="C21" s="8">
        <v>76.900000000000006</v>
      </c>
      <c r="D21" s="8">
        <v>72.400000000000006</v>
      </c>
      <c r="E21" s="8">
        <f t="shared" si="0"/>
        <v>-4.5</v>
      </c>
    </row>
    <row r="22" spans="2:5" x14ac:dyDescent="0.2">
      <c r="B22" s="8">
        <v>17</v>
      </c>
      <c r="C22" s="8">
        <v>75.8</v>
      </c>
      <c r="D22" s="8">
        <v>72</v>
      </c>
      <c r="E22" s="8">
        <f t="shared" si="0"/>
        <v>-3.7999999999999972</v>
      </c>
    </row>
    <row r="23" spans="2:5" x14ac:dyDescent="0.2">
      <c r="B23" s="8">
        <v>18</v>
      </c>
      <c r="C23" s="8">
        <v>78</v>
      </c>
      <c r="D23" s="8">
        <v>81</v>
      </c>
      <c r="E23" s="8">
        <f t="shared" si="0"/>
        <v>3</v>
      </c>
    </row>
    <row r="24" spans="2:5" x14ac:dyDescent="0.2">
      <c r="B24" s="8">
        <v>19</v>
      </c>
      <c r="C24" s="8">
        <v>82.4</v>
      </c>
      <c r="D24" s="8">
        <v>96.1</v>
      </c>
      <c r="E24" s="8">
        <f t="shared" si="0"/>
        <v>13.699999999999989</v>
      </c>
    </row>
    <row r="25" spans="2:5" x14ac:dyDescent="0.2">
      <c r="B25" s="8">
        <v>20</v>
      </c>
      <c r="C25" s="8">
        <v>76.2</v>
      </c>
      <c r="D25" s="8">
        <v>76.7</v>
      </c>
      <c r="E25" s="8">
        <f t="shared" si="0"/>
        <v>0.5</v>
      </c>
    </row>
    <row r="26" spans="2:5" x14ac:dyDescent="0.2">
      <c r="B26" s="8">
        <v>21</v>
      </c>
      <c r="C26" s="8">
        <v>62.5</v>
      </c>
      <c r="D26" s="8">
        <v>80.3</v>
      </c>
      <c r="E26" s="8">
        <f t="shared" si="0"/>
        <v>17.799999999999997</v>
      </c>
    </row>
    <row r="27" spans="2:5" x14ac:dyDescent="0.2">
      <c r="B27" s="8">
        <v>22</v>
      </c>
      <c r="C27" s="8">
        <v>78</v>
      </c>
      <c r="D27" s="8">
        <v>77.8</v>
      </c>
      <c r="E27" s="8">
        <f t="shared" si="0"/>
        <v>-0.20000000000000284</v>
      </c>
    </row>
    <row r="28" spans="2:5" x14ac:dyDescent="0.2">
      <c r="B28" s="8">
        <v>23</v>
      </c>
      <c r="C28" s="8">
        <v>66.5</v>
      </c>
      <c r="D28" s="8">
        <v>62.6</v>
      </c>
      <c r="E28" s="8">
        <f t="shared" si="0"/>
        <v>-3.8999999999999986</v>
      </c>
    </row>
    <row r="29" spans="2:5" x14ac:dyDescent="0.2">
      <c r="B29" s="8">
        <v>24</v>
      </c>
      <c r="C29" s="8">
        <v>63.5</v>
      </c>
      <c r="D29" s="8">
        <v>80.2</v>
      </c>
      <c r="E29" s="8">
        <f t="shared" si="0"/>
        <v>16.700000000000003</v>
      </c>
    </row>
    <row r="30" spans="2:5" x14ac:dyDescent="0.2">
      <c r="B30" s="8">
        <v>25</v>
      </c>
      <c r="C30" s="8">
        <v>82.6</v>
      </c>
      <c r="D30" s="8">
        <v>79.099999999999994</v>
      </c>
      <c r="E30" s="8">
        <f t="shared" si="0"/>
        <v>-3.5</v>
      </c>
    </row>
    <row r="31" spans="2:5" x14ac:dyDescent="0.2">
      <c r="B31" s="8">
        <v>26</v>
      </c>
      <c r="C31" s="8">
        <v>79.2</v>
      </c>
      <c r="D31" s="8">
        <v>77.8</v>
      </c>
      <c r="E31" s="8">
        <f t="shared" si="0"/>
        <v>-1.4000000000000057</v>
      </c>
    </row>
    <row r="32" spans="2:5" x14ac:dyDescent="0.2">
      <c r="B32" s="8">
        <v>27</v>
      </c>
      <c r="C32" s="8">
        <v>75</v>
      </c>
      <c r="D32" s="8">
        <v>75.099999999999994</v>
      </c>
      <c r="E32" s="8">
        <f t="shared" si="0"/>
        <v>9.9999999999994316E-2</v>
      </c>
    </row>
    <row r="33" spans="2:5" x14ac:dyDescent="0.2">
      <c r="B33" s="8">
        <v>28</v>
      </c>
      <c r="C33" s="8">
        <v>74.400000000000006</v>
      </c>
      <c r="D33" s="8">
        <v>82.2</v>
      </c>
      <c r="E33" s="8">
        <f t="shared" si="0"/>
        <v>7.7999999999999972</v>
      </c>
    </row>
    <row r="34" spans="2:5" x14ac:dyDescent="0.2">
      <c r="B34" s="8">
        <v>29</v>
      </c>
      <c r="C34" s="8">
        <v>67.900000000000006</v>
      </c>
      <c r="D34" s="8">
        <v>70.5</v>
      </c>
      <c r="E34" s="8">
        <f t="shared" si="0"/>
        <v>2.5999999999999943</v>
      </c>
    </row>
    <row r="35" spans="2:5" x14ac:dyDescent="0.2">
      <c r="B35" s="8">
        <v>30</v>
      </c>
      <c r="C35" s="8">
        <v>76.8</v>
      </c>
      <c r="D35" s="8">
        <v>70.8</v>
      </c>
      <c r="E35" s="8">
        <f t="shared" si="0"/>
        <v>-6</v>
      </c>
    </row>
    <row r="36" spans="2:5" x14ac:dyDescent="0.2">
      <c r="B36" s="8">
        <v>31</v>
      </c>
      <c r="C36" s="8">
        <v>83</v>
      </c>
      <c r="D36" s="8">
        <v>87.5</v>
      </c>
      <c r="E36" s="8">
        <f t="shared" si="0"/>
        <v>4.5</v>
      </c>
    </row>
    <row r="37" spans="2:5" x14ac:dyDescent="0.2">
      <c r="B37" s="8">
        <v>32</v>
      </c>
      <c r="C37" s="8">
        <v>88.9</v>
      </c>
      <c r="D37" s="8">
        <v>79.5</v>
      </c>
      <c r="E37" s="8">
        <f t="shared" si="0"/>
        <v>-9.4000000000000057</v>
      </c>
    </row>
    <row r="38" spans="2:5" x14ac:dyDescent="0.2">
      <c r="B38" s="8">
        <v>33</v>
      </c>
      <c r="C38" s="8">
        <v>76.5</v>
      </c>
      <c r="D38" s="8">
        <v>80.8</v>
      </c>
      <c r="E38" s="8">
        <f t="shared" si="0"/>
        <v>4.2999999999999972</v>
      </c>
    </row>
    <row r="39" spans="2:5" x14ac:dyDescent="0.2">
      <c r="B39" s="8">
        <v>34</v>
      </c>
      <c r="C39" s="8">
        <v>79.900000000000006</v>
      </c>
      <c r="D39" s="8">
        <v>79.599999999999994</v>
      </c>
      <c r="E39" s="8">
        <f t="shared" si="0"/>
        <v>-0.30000000000001137</v>
      </c>
    </row>
    <row r="40" spans="2:5" x14ac:dyDescent="0.2">
      <c r="B40" s="8">
        <v>35</v>
      </c>
      <c r="C40" s="8">
        <v>70.400000000000006</v>
      </c>
      <c r="D40" s="8">
        <v>88.9</v>
      </c>
      <c r="E40" s="8">
        <f t="shared" si="0"/>
        <v>18.5</v>
      </c>
    </row>
    <row r="41" spans="2:5" x14ac:dyDescent="0.2">
      <c r="B41" s="8">
        <v>36</v>
      </c>
      <c r="C41" s="8">
        <v>83.4</v>
      </c>
      <c r="D41" s="8">
        <v>85.9</v>
      </c>
      <c r="E41" s="8">
        <f t="shared" si="0"/>
        <v>2.5</v>
      </c>
    </row>
    <row r="42" spans="2:5" x14ac:dyDescent="0.2">
      <c r="B42" s="8">
        <v>37</v>
      </c>
      <c r="C42" s="8">
        <v>79.2</v>
      </c>
      <c r="D42" s="8">
        <v>82.3</v>
      </c>
      <c r="E42" s="8">
        <f t="shared" si="0"/>
        <v>3.0999999999999943</v>
      </c>
    </row>
    <row r="43" spans="2:5" x14ac:dyDescent="0.2">
      <c r="B43" s="8">
        <v>38</v>
      </c>
      <c r="C43" s="8">
        <v>61.2</v>
      </c>
      <c r="D43" s="8">
        <v>76.7</v>
      </c>
      <c r="E43" s="8">
        <f t="shared" si="0"/>
        <v>15.5</v>
      </c>
    </row>
    <row r="44" spans="2:5" x14ac:dyDescent="0.2">
      <c r="B44" s="8">
        <v>39</v>
      </c>
      <c r="C44" s="8">
        <v>64</v>
      </c>
      <c r="D44" s="8">
        <v>79.900000000000006</v>
      </c>
      <c r="E44" s="8">
        <f t="shared" si="0"/>
        <v>15.900000000000006</v>
      </c>
    </row>
    <row r="45" spans="2:5" x14ac:dyDescent="0.2">
      <c r="B45" s="8">
        <v>40</v>
      </c>
      <c r="C45" s="8">
        <v>68</v>
      </c>
      <c r="D45" s="8">
        <v>86.2</v>
      </c>
      <c r="E45" s="8">
        <f t="shared" si="0"/>
        <v>18.200000000000003</v>
      </c>
    </row>
    <row r="46" spans="2:5" x14ac:dyDescent="0.2">
      <c r="B46" s="8">
        <v>41</v>
      </c>
      <c r="C46" s="8">
        <v>78.5</v>
      </c>
      <c r="D46" s="8">
        <v>79.2</v>
      </c>
      <c r="E46" s="8">
        <f t="shared" si="0"/>
        <v>0.70000000000000284</v>
      </c>
    </row>
    <row r="47" spans="2:5" x14ac:dyDescent="0.2">
      <c r="B47" s="8">
        <v>42</v>
      </c>
      <c r="C47" s="8">
        <v>83</v>
      </c>
      <c r="D47" s="8">
        <v>83.4</v>
      </c>
      <c r="E47" s="8">
        <f t="shared" si="0"/>
        <v>0.40000000000000568</v>
      </c>
    </row>
    <row r="48" spans="2:5" x14ac:dyDescent="0.2">
      <c r="B48" s="8">
        <v>43</v>
      </c>
      <c r="C48" s="8">
        <v>75.2</v>
      </c>
      <c r="D48" s="8">
        <v>85.2</v>
      </c>
      <c r="E48" s="8">
        <f t="shared" si="0"/>
        <v>10</v>
      </c>
    </row>
    <row r="49" spans="2:5" x14ac:dyDescent="0.2">
      <c r="B49" s="8">
        <v>44</v>
      </c>
      <c r="C49" s="8">
        <v>68.099999999999994</v>
      </c>
      <c r="D49" s="8">
        <v>77.8</v>
      </c>
      <c r="E49" s="8">
        <f t="shared" si="0"/>
        <v>9.7000000000000028</v>
      </c>
    </row>
    <row r="50" spans="2:5" x14ac:dyDescent="0.2">
      <c r="B50" s="8">
        <v>45</v>
      </c>
      <c r="C50" s="8">
        <v>93.6</v>
      </c>
      <c r="D50" s="8">
        <v>80.2</v>
      </c>
      <c r="E50" s="8">
        <f t="shared" si="0"/>
        <v>-13.399999999999991</v>
      </c>
    </row>
    <row r="51" spans="2:5" x14ac:dyDescent="0.2">
      <c r="B51" s="8">
        <v>46</v>
      </c>
      <c r="C51" s="8">
        <v>75.599999999999994</v>
      </c>
      <c r="D51" s="8">
        <v>71</v>
      </c>
      <c r="E51" s="8">
        <f t="shared" si="0"/>
        <v>-4.5999999999999943</v>
      </c>
    </row>
    <row r="52" spans="2:5" x14ac:dyDescent="0.2">
      <c r="B52" s="8">
        <v>47</v>
      </c>
      <c r="C52" s="8">
        <v>82.3</v>
      </c>
      <c r="D52" s="8">
        <v>87.2</v>
      </c>
      <c r="E52" s="8">
        <f t="shared" si="0"/>
        <v>4.9000000000000057</v>
      </c>
    </row>
    <row r="53" spans="2:5" x14ac:dyDescent="0.2">
      <c r="B53" s="8">
        <v>48</v>
      </c>
      <c r="C53" s="8">
        <v>71.400000000000006</v>
      </c>
      <c r="D53" s="8">
        <v>82.9</v>
      </c>
      <c r="E53" s="8">
        <f t="shared" si="0"/>
        <v>11.5</v>
      </c>
    </row>
    <row r="54" spans="2:5" x14ac:dyDescent="0.2">
      <c r="B54" s="8">
        <v>49</v>
      </c>
      <c r="C54" s="8">
        <v>71.900000000000006</v>
      </c>
      <c r="D54" s="8">
        <v>73.5</v>
      </c>
      <c r="E54" s="8">
        <f t="shared" si="0"/>
        <v>1.5999999999999943</v>
      </c>
    </row>
    <row r="55" spans="2:5" x14ac:dyDescent="0.2">
      <c r="B55" s="8">
        <v>50</v>
      </c>
      <c r="C55" s="8">
        <v>79.099999999999994</v>
      </c>
      <c r="D55" s="8">
        <v>74.599999999999994</v>
      </c>
      <c r="E55" s="8">
        <f t="shared" si="0"/>
        <v>-4.5</v>
      </c>
    </row>
    <row r="56" spans="2:5" x14ac:dyDescent="0.2">
      <c r="B56" s="8">
        <v>51</v>
      </c>
      <c r="C56" s="8">
        <v>88.7</v>
      </c>
      <c r="D56" s="8">
        <v>75.099999999999994</v>
      </c>
      <c r="E56" s="8">
        <f t="shared" si="0"/>
        <v>-13.600000000000009</v>
      </c>
    </row>
    <row r="57" spans="2:5" x14ac:dyDescent="0.2">
      <c r="B57" s="8">
        <v>52</v>
      </c>
      <c r="C57" s="8">
        <v>69.400000000000006</v>
      </c>
      <c r="D57" s="8">
        <v>85.1</v>
      </c>
      <c r="E57" s="8">
        <f t="shared" si="0"/>
        <v>15.699999999999989</v>
      </c>
    </row>
    <row r="58" spans="2:5" x14ac:dyDescent="0.2">
      <c r="B58" s="8">
        <v>53</v>
      </c>
      <c r="C58" s="8">
        <v>80.3</v>
      </c>
      <c r="D58" s="8">
        <v>74.900000000000006</v>
      </c>
      <c r="E58" s="8">
        <f t="shared" si="0"/>
        <v>-5.3999999999999915</v>
      </c>
    </row>
    <row r="59" spans="2:5" x14ac:dyDescent="0.2">
      <c r="B59" s="8">
        <v>54</v>
      </c>
      <c r="C59" s="8">
        <v>83</v>
      </c>
      <c r="D59" s="8">
        <v>84.6</v>
      </c>
      <c r="E59" s="8">
        <f t="shared" si="0"/>
        <v>1.5999999999999943</v>
      </c>
    </row>
    <row r="60" spans="2:5" x14ac:dyDescent="0.2">
      <c r="B60" s="8">
        <v>55</v>
      </c>
      <c r="C60" s="8">
        <v>74.099999999999994</v>
      </c>
      <c r="D60" s="8">
        <v>81.7</v>
      </c>
      <c r="E60" s="8">
        <f t="shared" si="0"/>
        <v>7.6000000000000085</v>
      </c>
    </row>
    <row r="61" spans="2:5" x14ac:dyDescent="0.2">
      <c r="B61" s="8">
        <v>56</v>
      </c>
      <c r="C61" s="8">
        <v>79.400000000000006</v>
      </c>
      <c r="D61" s="8">
        <v>81.400000000000006</v>
      </c>
      <c r="E61" s="8">
        <f t="shared" si="0"/>
        <v>2</v>
      </c>
    </row>
    <row r="62" spans="2:5" x14ac:dyDescent="0.2">
      <c r="B62" s="8">
        <v>57</v>
      </c>
      <c r="C62" s="8">
        <v>88.1</v>
      </c>
      <c r="D62" s="8">
        <v>83.8</v>
      </c>
      <c r="E62" s="8">
        <f t="shared" si="0"/>
        <v>-4.2999999999999972</v>
      </c>
    </row>
    <row r="63" spans="2:5" x14ac:dyDescent="0.2">
      <c r="B63" s="8">
        <v>58</v>
      </c>
      <c r="C63" s="8">
        <v>74.599999999999994</v>
      </c>
      <c r="D63" s="8">
        <v>88.5</v>
      </c>
      <c r="E63" s="8">
        <f t="shared" si="0"/>
        <v>13.900000000000006</v>
      </c>
    </row>
    <row r="64" spans="2:5" x14ac:dyDescent="0.2">
      <c r="B64" s="8">
        <v>59</v>
      </c>
      <c r="C64" s="8">
        <v>87.1</v>
      </c>
      <c r="D64" s="8">
        <v>84.9</v>
      </c>
      <c r="E64" s="8">
        <f t="shared" si="0"/>
        <v>-2.1999999999999886</v>
      </c>
    </row>
    <row r="65" spans="2:5" x14ac:dyDescent="0.2">
      <c r="B65" s="8">
        <v>60</v>
      </c>
      <c r="C65" s="8">
        <v>79.7</v>
      </c>
      <c r="D65" s="8">
        <v>84.3</v>
      </c>
      <c r="E65" s="8">
        <f t="shared" si="0"/>
        <v>4.5999999999999943</v>
      </c>
    </row>
    <row r="66" spans="2:5" x14ac:dyDescent="0.2">
      <c r="B66" s="8">
        <v>61</v>
      </c>
      <c r="C66" s="8">
        <v>82.1</v>
      </c>
      <c r="D66" s="8">
        <v>78.2</v>
      </c>
      <c r="E66" s="8">
        <f t="shared" si="0"/>
        <v>-3.8999999999999915</v>
      </c>
    </row>
    <row r="67" spans="2:5" x14ac:dyDescent="0.2">
      <c r="B67" s="8">
        <v>62</v>
      </c>
      <c r="C67" s="8">
        <v>70.2</v>
      </c>
      <c r="D67" s="8">
        <v>80</v>
      </c>
      <c r="E67" s="8">
        <f t="shared" si="0"/>
        <v>9.7999999999999972</v>
      </c>
    </row>
    <row r="68" spans="2:5" x14ac:dyDescent="0.2">
      <c r="B68" s="8">
        <v>63</v>
      </c>
      <c r="C68" s="8">
        <v>81.7</v>
      </c>
      <c r="D68" s="8">
        <v>74.8</v>
      </c>
      <c r="E68" s="8">
        <f t="shared" si="0"/>
        <v>-6.9000000000000057</v>
      </c>
    </row>
    <row r="69" spans="2:5" x14ac:dyDescent="0.2">
      <c r="B69" s="8">
        <v>64</v>
      </c>
      <c r="C69" s="8">
        <v>76.099999999999994</v>
      </c>
      <c r="D69" s="8">
        <v>78.5</v>
      </c>
      <c r="E69" s="8">
        <f t="shared" si="0"/>
        <v>2.4000000000000057</v>
      </c>
    </row>
    <row r="70" spans="2:5" x14ac:dyDescent="0.2">
      <c r="B70" s="8">
        <v>65</v>
      </c>
      <c r="C70" s="8">
        <v>65.400000000000006</v>
      </c>
      <c r="D70" s="8">
        <v>71.8</v>
      </c>
      <c r="E70" s="8">
        <f t="shared" si="0"/>
        <v>6.3999999999999915</v>
      </c>
    </row>
    <row r="71" spans="2:5" x14ac:dyDescent="0.2">
      <c r="B71" s="8">
        <v>66</v>
      </c>
      <c r="C71" s="8">
        <v>70.099999999999994</v>
      </c>
      <c r="D71" s="8">
        <v>69.900000000000006</v>
      </c>
      <c r="E71" s="8">
        <f t="shared" ref="E71:E100" si="1">D71-C71</f>
        <v>-0.19999999999998863</v>
      </c>
    </row>
    <row r="72" spans="2:5" x14ac:dyDescent="0.2">
      <c r="B72" s="8">
        <v>67</v>
      </c>
      <c r="C72" s="8">
        <v>75.3</v>
      </c>
      <c r="D72" s="8">
        <v>82.7</v>
      </c>
      <c r="E72" s="8">
        <f t="shared" si="1"/>
        <v>7.4000000000000057</v>
      </c>
    </row>
    <row r="73" spans="2:5" x14ac:dyDescent="0.2">
      <c r="B73" s="8">
        <v>68</v>
      </c>
      <c r="C73" s="8">
        <v>68.7</v>
      </c>
      <c r="D73" s="8">
        <v>74</v>
      </c>
      <c r="E73" s="8">
        <f t="shared" si="1"/>
        <v>5.2999999999999972</v>
      </c>
    </row>
    <row r="74" spans="2:5" x14ac:dyDescent="0.2">
      <c r="B74" s="8">
        <v>69</v>
      </c>
      <c r="C74" s="8">
        <v>75.7</v>
      </c>
      <c r="D74" s="8">
        <v>84</v>
      </c>
      <c r="E74" s="8">
        <f t="shared" si="1"/>
        <v>8.2999999999999972</v>
      </c>
    </row>
    <row r="75" spans="2:5" x14ac:dyDescent="0.2">
      <c r="B75" s="8">
        <v>70</v>
      </c>
      <c r="C75" s="8">
        <v>68.7</v>
      </c>
      <c r="D75" s="8">
        <v>84.7</v>
      </c>
      <c r="E75" s="8">
        <f t="shared" si="1"/>
        <v>16</v>
      </c>
    </row>
    <row r="76" spans="2:5" x14ac:dyDescent="0.2">
      <c r="B76" s="8">
        <v>71</v>
      </c>
      <c r="C76" s="8">
        <v>70.400000000000006</v>
      </c>
      <c r="D76" s="8">
        <v>78.2</v>
      </c>
      <c r="E76" s="8">
        <f t="shared" si="1"/>
        <v>7.7999999999999972</v>
      </c>
    </row>
    <row r="77" spans="2:5" x14ac:dyDescent="0.2">
      <c r="B77" s="8">
        <v>72</v>
      </c>
      <c r="C77" s="8">
        <v>68.3</v>
      </c>
      <c r="D77" s="8">
        <v>85</v>
      </c>
      <c r="E77" s="8">
        <f t="shared" si="1"/>
        <v>16.700000000000003</v>
      </c>
    </row>
    <row r="78" spans="2:5" x14ac:dyDescent="0.2">
      <c r="B78" s="8">
        <v>73</v>
      </c>
      <c r="C78" s="8">
        <v>71.7</v>
      </c>
      <c r="D78" s="8">
        <v>80.099999999999994</v>
      </c>
      <c r="E78" s="8">
        <f t="shared" si="1"/>
        <v>8.3999999999999915</v>
      </c>
    </row>
    <row r="79" spans="2:5" x14ac:dyDescent="0.2">
      <c r="B79" s="8">
        <v>74</v>
      </c>
      <c r="C79" s="8">
        <v>70.900000000000006</v>
      </c>
      <c r="D79" s="8">
        <v>85.3</v>
      </c>
      <c r="E79" s="8">
        <f t="shared" si="1"/>
        <v>14.399999999999991</v>
      </c>
    </row>
    <row r="80" spans="2:5" x14ac:dyDescent="0.2">
      <c r="B80" s="8">
        <v>75</v>
      </c>
      <c r="C80" s="8">
        <v>66.3</v>
      </c>
      <c r="D80" s="8">
        <v>79.7</v>
      </c>
      <c r="E80" s="8">
        <f t="shared" si="1"/>
        <v>13.400000000000006</v>
      </c>
    </row>
    <row r="81" spans="2:5" x14ac:dyDescent="0.2">
      <c r="B81" s="8">
        <v>76</v>
      </c>
      <c r="C81" s="8">
        <v>65.3</v>
      </c>
      <c r="D81" s="8">
        <v>79.599999999999994</v>
      </c>
      <c r="E81" s="8">
        <f t="shared" si="1"/>
        <v>14.299999999999997</v>
      </c>
    </row>
    <row r="82" spans="2:5" x14ac:dyDescent="0.2">
      <c r="B82" s="8">
        <v>77</v>
      </c>
      <c r="C82" s="8">
        <v>75.7</v>
      </c>
      <c r="D82" s="8">
        <v>78.900000000000006</v>
      </c>
      <c r="E82" s="8">
        <f t="shared" si="1"/>
        <v>3.2000000000000028</v>
      </c>
    </row>
    <row r="83" spans="2:5" x14ac:dyDescent="0.2">
      <c r="B83" s="8">
        <v>78</v>
      </c>
      <c r="C83" s="8">
        <v>66</v>
      </c>
      <c r="D83" s="8">
        <v>78.5</v>
      </c>
      <c r="E83" s="8">
        <f t="shared" si="1"/>
        <v>12.5</v>
      </c>
    </row>
    <row r="84" spans="2:5" x14ac:dyDescent="0.2">
      <c r="B84" s="8">
        <v>79</v>
      </c>
      <c r="C84" s="8">
        <v>78.900000000000006</v>
      </c>
      <c r="D84" s="8">
        <v>72</v>
      </c>
      <c r="E84" s="8">
        <f t="shared" si="1"/>
        <v>-6.9000000000000057</v>
      </c>
    </row>
    <row r="85" spans="2:5" x14ac:dyDescent="0.2">
      <c r="B85" s="8">
        <v>80</v>
      </c>
      <c r="C85" s="8">
        <v>74</v>
      </c>
      <c r="D85" s="8">
        <v>74.2</v>
      </c>
      <c r="E85" s="8">
        <f t="shared" si="1"/>
        <v>0.20000000000000284</v>
      </c>
    </row>
    <row r="86" spans="2:5" x14ac:dyDescent="0.2">
      <c r="B86" s="8">
        <v>81</v>
      </c>
      <c r="C86" s="8">
        <v>74.599999999999994</v>
      </c>
      <c r="D86" s="8">
        <v>71.7</v>
      </c>
      <c r="E86" s="8">
        <f t="shared" si="1"/>
        <v>-2.8999999999999915</v>
      </c>
    </row>
    <row r="87" spans="2:5" x14ac:dyDescent="0.2">
      <c r="B87" s="8">
        <v>82</v>
      </c>
      <c r="C87" s="8">
        <v>79.3</v>
      </c>
      <c r="D87" s="8">
        <v>80.7</v>
      </c>
      <c r="E87" s="8">
        <f t="shared" si="1"/>
        <v>1.4000000000000057</v>
      </c>
    </row>
    <row r="88" spans="2:5" x14ac:dyDescent="0.2">
      <c r="B88" s="8">
        <v>83</v>
      </c>
      <c r="C88" s="8">
        <v>70.099999999999994</v>
      </c>
      <c r="D88" s="8">
        <v>84.1</v>
      </c>
      <c r="E88" s="8">
        <f t="shared" si="1"/>
        <v>14</v>
      </c>
    </row>
    <row r="89" spans="2:5" x14ac:dyDescent="0.2">
      <c r="B89" s="8">
        <v>84</v>
      </c>
      <c r="C89" s="8">
        <v>88.8</v>
      </c>
      <c r="D89" s="8">
        <v>87.4</v>
      </c>
      <c r="E89" s="8">
        <f t="shared" si="1"/>
        <v>-1.3999999999999915</v>
      </c>
    </row>
    <row r="90" spans="2:5" x14ac:dyDescent="0.2">
      <c r="B90" s="8">
        <v>85</v>
      </c>
      <c r="C90" s="8">
        <v>66</v>
      </c>
      <c r="D90" s="8">
        <v>77.400000000000006</v>
      </c>
      <c r="E90" s="8">
        <f t="shared" si="1"/>
        <v>11.400000000000006</v>
      </c>
    </row>
    <row r="91" spans="2:5" x14ac:dyDescent="0.2">
      <c r="B91" s="8">
        <v>86</v>
      </c>
      <c r="C91" s="8">
        <v>82.9</v>
      </c>
      <c r="D91" s="8">
        <v>84.7</v>
      </c>
      <c r="E91" s="8">
        <f t="shared" si="1"/>
        <v>1.7999999999999972</v>
      </c>
    </row>
    <row r="92" spans="2:5" x14ac:dyDescent="0.2">
      <c r="B92" s="8">
        <v>87</v>
      </c>
      <c r="C92" s="8">
        <v>100</v>
      </c>
      <c r="D92" s="8">
        <v>78.8</v>
      </c>
      <c r="E92" s="8">
        <f t="shared" si="1"/>
        <v>-21.200000000000003</v>
      </c>
    </row>
    <row r="93" spans="2:5" x14ac:dyDescent="0.2">
      <c r="B93" s="8">
        <v>88</v>
      </c>
      <c r="C93" s="8">
        <v>75.599999999999994</v>
      </c>
      <c r="D93" s="8">
        <v>92.7</v>
      </c>
      <c r="E93" s="8">
        <f t="shared" si="1"/>
        <v>17.100000000000009</v>
      </c>
    </row>
    <row r="94" spans="2:5" x14ac:dyDescent="0.2">
      <c r="B94" s="8">
        <v>89</v>
      </c>
      <c r="C94" s="8">
        <v>67.5</v>
      </c>
      <c r="D94" s="8">
        <v>88.8</v>
      </c>
      <c r="E94" s="8">
        <f t="shared" si="1"/>
        <v>21.299999999999997</v>
      </c>
    </row>
    <row r="95" spans="2:5" x14ac:dyDescent="0.2">
      <c r="B95" s="8">
        <v>90</v>
      </c>
      <c r="C95" s="8">
        <v>68.7</v>
      </c>
      <c r="D95" s="8">
        <v>86.6</v>
      </c>
      <c r="E95" s="8">
        <f t="shared" si="1"/>
        <v>17.899999999999991</v>
      </c>
    </row>
    <row r="96" spans="2:5" x14ac:dyDescent="0.2">
      <c r="B96" s="8">
        <v>91</v>
      </c>
      <c r="C96" s="8">
        <v>76</v>
      </c>
      <c r="D96" s="8">
        <v>77.900000000000006</v>
      </c>
      <c r="E96" s="8">
        <f t="shared" si="1"/>
        <v>1.9000000000000057</v>
      </c>
    </row>
    <row r="97" spans="2:5" x14ac:dyDescent="0.2">
      <c r="B97" s="8">
        <v>92</v>
      </c>
      <c r="C97" s="8">
        <v>67.7</v>
      </c>
      <c r="D97" s="8">
        <v>86.1</v>
      </c>
      <c r="E97" s="8">
        <f t="shared" si="1"/>
        <v>18.399999999999991</v>
      </c>
    </row>
    <row r="98" spans="2:5" x14ac:dyDescent="0.2">
      <c r="B98" s="8">
        <v>93</v>
      </c>
      <c r="C98" s="8">
        <v>75.3</v>
      </c>
      <c r="D98" s="8">
        <v>89.9</v>
      </c>
      <c r="E98" s="8">
        <f t="shared" si="1"/>
        <v>14.600000000000009</v>
      </c>
    </row>
    <row r="99" spans="2:5" x14ac:dyDescent="0.2">
      <c r="B99" s="8">
        <v>94</v>
      </c>
      <c r="C99" s="8">
        <v>68.099999999999994</v>
      </c>
      <c r="D99" s="8">
        <v>83.1</v>
      </c>
      <c r="E99" s="8">
        <f t="shared" si="1"/>
        <v>15</v>
      </c>
    </row>
    <row r="100" spans="2:5" x14ac:dyDescent="0.2">
      <c r="B100" s="8">
        <v>95</v>
      </c>
      <c r="C100" s="8">
        <v>63.3</v>
      </c>
      <c r="D100" s="8">
        <v>82.6</v>
      </c>
      <c r="E100" s="8">
        <f t="shared" si="1"/>
        <v>19.299999999999997</v>
      </c>
    </row>
  </sheetData>
  <mergeCells count="3">
    <mergeCell ref="G5:H5"/>
    <mergeCell ref="J5:K5"/>
    <mergeCell ref="M5:N5"/>
  </mergeCells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1FF48-FD83-4A2D-88DA-651A4D97233E}">
  <sheetPr codeName="Sheet34">
    <tabColor theme="9" tint="0.59999389629810485"/>
  </sheetPr>
  <dimension ref="B1:N100"/>
  <sheetViews>
    <sheetView showGridLines="0" topLeftCell="B1" workbookViewId="0">
      <selection activeCell="K11" sqref="K11"/>
    </sheetView>
  </sheetViews>
  <sheetFormatPr baseColWidth="10" defaultColWidth="8.83203125" defaultRowHeight="15" x14ac:dyDescent="0.2"/>
  <cols>
    <col min="1" max="1" width="2.83203125" customWidth="1"/>
    <col min="2" max="2" width="11.5" customWidth="1"/>
    <col min="3" max="3" width="21.5" customWidth="1"/>
    <col min="4" max="4" width="20" customWidth="1"/>
    <col min="5" max="5" width="11.5" customWidth="1"/>
    <col min="7" max="7" width="12.1640625" customWidth="1"/>
    <col min="8" max="8" width="11.5" customWidth="1"/>
    <col min="10" max="10" width="20" customWidth="1"/>
    <col min="11" max="11" width="9.5" bestFit="1" customWidth="1"/>
    <col min="13" max="13" width="14.33203125" customWidth="1"/>
    <col min="14" max="14" width="11.5" customWidth="1"/>
  </cols>
  <sheetData>
    <row r="1" spans="2:14" ht="25.5" customHeight="1" x14ac:dyDescent="0.25">
      <c r="B1" s="18" t="s">
        <v>173</v>
      </c>
    </row>
    <row r="2" spans="2:14" ht="15" customHeight="1" x14ac:dyDescent="0.2">
      <c r="B2" s="30" t="s">
        <v>306</v>
      </c>
    </row>
    <row r="3" spans="2:14" ht="18" customHeight="1" x14ac:dyDescent="0.2"/>
    <row r="4" spans="2:14" x14ac:dyDescent="0.2">
      <c r="G4" s="3" t="s">
        <v>54</v>
      </c>
      <c r="J4" s="3" t="s">
        <v>54</v>
      </c>
      <c r="M4" s="3" t="s">
        <v>54</v>
      </c>
    </row>
    <row r="5" spans="2:14" x14ac:dyDescent="0.2">
      <c r="B5" s="40" t="s">
        <v>20</v>
      </c>
      <c r="C5" s="43" t="s">
        <v>22</v>
      </c>
      <c r="D5" s="43" t="s">
        <v>23</v>
      </c>
      <c r="E5" s="41" t="s">
        <v>172</v>
      </c>
      <c r="G5" s="115" t="s">
        <v>139</v>
      </c>
      <c r="H5" s="115"/>
      <c r="J5" s="115" t="s">
        <v>141</v>
      </c>
      <c r="K5" s="115"/>
      <c r="M5" s="115" t="s">
        <v>147</v>
      </c>
      <c r="N5" s="115"/>
    </row>
    <row r="6" spans="2:14" x14ac:dyDescent="0.2">
      <c r="B6" s="8">
        <v>1</v>
      </c>
      <c r="C6" s="8">
        <v>252</v>
      </c>
      <c r="D6" s="8">
        <v>276</v>
      </c>
      <c r="E6" s="8">
        <f>D6-C6</f>
        <v>24</v>
      </c>
      <c r="G6" s="20" t="s">
        <v>71</v>
      </c>
      <c r="H6" s="71">
        <f>COUNT(E6:E100)</f>
        <v>95</v>
      </c>
      <c r="J6" s="20" t="s">
        <v>142</v>
      </c>
      <c r="K6" s="82">
        <v>0.9</v>
      </c>
      <c r="M6" s="20" t="s">
        <v>148</v>
      </c>
      <c r="N6" s="72">
        <f>H7-K11</f>
        <v>44.387759816134697</v>
      </c>
    </row>
    <row r="7" spans="2:14" x14ac:dyDescent="0.2">
      <c r="B7" s="8">
        <v>2</v>
      </c>
      <c r="C7" s="8">
        <v>423</v>
      </c>
      <c r="D7" s="8">
        <v>410</v>
      </c>
      <c r="E7" s="8">
        <f t="shared" ref="E7:E70" si="0">D7-C7</f>
        <v>-13</v>
      </c>
      <c r="G7" s="20" t="s">
        <v>46</v>
      </c>
      <c r="H7" s="72">
        <f>AVERAGE(E6:E100)</f>
        <v>49.442105263157892</v>
      </c>
      <c r="J7" s="20" t="s">
        <v>143</v>
      </c>
      <c r="K7" s="82">
        <f>1-K6</f>
        <v>9.9999999999999978E-2</v>
      </c>
      <c r="M7" s="20" t="s">
        <v>149</v>
      </c>
      <c r="N7" s="72">
        <f>H7+K11</f>
        <v>54.496450710181087</v>
      </c>
    </row>
    <row r="8" spans="2:14" x14ac:dyDescent="0.2">
      <c r="B8" s="8">
        <v>3</v>
      </c>
      <c r="C8" s="8">
        <v>101</v>
      </c>
      <c r="D8" s="8">
        <v>119</v>
      </c>
      <c r="E8" s="8">
        <f t="shared" si="0"/>
        <v>18</v>
      </c>
      <c r="G8" s="20" t="s">
        <v>70</v>
      </c>
      <c r="H8" s="75">
        <f>_xlfn.STDEV.S(E6:E100)</f>
        <v>29.655007753875548</v>
      </c>
      <c r="J8" s="20" t="s">
        <v>144</v>
      </c>
      <c r="K8" s="75">
        <f>K7/2</f>
        <v>4.9999999999999989E-2</v>
      </c>
    </row>
    <row r="9" spans="2:14" x14ac:dyDescent="0.2">
      <c r="B9" s="8">
        <v>4</v>
      </c>
      <c r="C9" s="8">
        <v>288</v>
      </c>
      <c r="D9" s="8">
        <v>334</v>
      </c>
      <c r="E9" s="8">
        <f t="shared" si="0"/>
        <v>46</v>
      </c>
      <c r="J9" s="20" t="s">
        <v>339</v>
      </c>
      <c r="K9" s="75">
        <f>_xlfn.T.INV(1-K8,H6-1)</f>
        <v>1.6612258552965111</v>
      </c>
    </row>
    <row r="10" spans="2:14" x14ac:dyDescent="0.2">
      <c r="B10" s="8">
        <v>5</v>
      </c>
      <c r="C10" s="8">
        <v>248</v>
      </c>
      <c r="D10" s="8">
        <v>252</v>
      </c>
      <c r="E10" s="8">
        <f t="shared" si="0"/>
        <v>4</v>
      </c>
      <c r="J10" s="20" t="s">
        <v>146</v>
      </c>
      <c r="K10" s="75">
        <f>H8/SQRT(H6)</f>
        <v>3.0425395986393706</v>
      </c>
    </row>
    <row r="11" spans="2:14" x14ac:dyDescent="0.2">
      <c r="B11" s="8">
        <v>6</v>
      </c>
      <c r="C11" s="8">
        <v>145</v>
      </c>
      <c r="D11" s="8">
        <v>209</v>
      </c>
      <c r="E11" s="8">
        <f t="shared" si="0"/>
        <v>64</v>
      </c>
      <c r="J11" s="20" t="s">
        <v>150</v>
      </c>
      <c r="K11" s="75">
        <f>K9*K10</f>
        <v>5.0543454470231923</v>
      </c>
    </row>
    <row r="12" spans="2:14" x14ac:dyDescent="0.2">
      <c r="B12" s="8">
        <v>7</v>
      </c>
      <c r="C12" s="8">
        <v>401</v>
      </c>
      <c r="D12" s="8">
        <v>462</v>
      </c>
      <c r="E12" s="8">
        <f t="shared" si="0"/>
        <v>61</v>
      </c>
    </row>
    <row r="13" spans="2:14" x14ac:dyDescent="0.2">
      <c r="B13" s="8">
        <v>8</v>
      </c>
      <c r="C13" s="8">
        <v>287</v>
      </c>
      <c r="D13" s="8">
        <v>342</v>
      </c>
      <c r="E13" s="8">
        <f t="shared" si="0"/>
        <v>55</v>
      </c>
    </row>
    <row r="14" spans="2:14" x14ac:dyDescent="0.2">
      <c r="B14" s="8">
        <v>9</v>
      </c>
      <c r="C14" s="8">
        <v>275</v>
      </c>
      <c r="D14" s="8">
        <v>347</v>
      </c>
      <c r="E14" s="8">
        <f t="shared" si="0"/>
        <v>72</v>
      </c>
    </row>
    <row r="15" spans="2:14" x14ac:dyDescent="0.2">
      <c r="B15" s="8">
        <v>10</v>
      </c>
      <c r="C15" s="8">
        <v>254</v>
      </c>
      <c r="D15" s="8">
        <v>313</v>
      </c>
      <c r="E15" s="8">
        <f t="shared" si="0"/>
        <v>59</v>
      </c>
    </row>
    <row r="16" spans="2:14" x14ac:dyDescent="0.2">
      <c r="B16" s="8">
        <v>11</v>
      </c>
      <c r="C16" s="8">
        <v>182</v>
      </c>
      <c r="D16" s="8">
        <v>232</v>
      </c>
      <c r="E16" s="8">
        <f t="shared" si="0"/>
        <v>50</v>
      </c>
    </row>
    <row r="17" spans="2:5" x14ac:dyDescent="0.2">
      <c r="B17" s="8">
        <v>12</v>
      </c>
      <c r="C17" s="8">
        <v>117</v>
      </c>
      <c r="D17" s="8">
        <v>163</v>
      </c>
      <c r="E17" s="8">
        <f t="shared" si="0"/>
        <v>46</v>
      </c>
    </row>
    <row r="18" spans="2:5" x14ac:dyDescent="0.2">
      <c r="B18" s="8">
        <v>13</v>
      </c>
      <c r="C18" s="8">
        <v>130</v>
      </c>
      <c r="D18" s="8">
        <v>119</v>
      </c>
      <c r="E18" s="8">
        <f t="shared" si="0"/>
        <v>-11</v>
      </c>
    </row>
    <row r="19" spans="2:5" x14ac:dyDescent="0.2">
      <c r="B19" s="8">
        <v>14</v>
      </c>
      <c r="C19" s="8">
        <v>219</v>
      </c>
      <c r="D19" s="8">
        <v>304</v>
      </c>
      <c r="E19" s="8">
        <f t="shared" si="0"/>
        <v>85</v>
      </c>
    </row>
    <row r="20" spans="2:5" x14ac:dyDescent="0.2">
      <c r="B20" s="8">
        <v>15</v>
      </c>
      <c r="C20" s="8">
        <v>152</v>
      </c>
      <c r="D20" s="8">
        <v>211</v>
      </c>
      <c r="E20" s="8">
        <f t="shared" si="0"/>
        <v>59</v>
      </c>
    </row>
    <row r="21" spans="2:5" x14ac:dyDescent="0.2">
      <c r="B21" s="8">
        <v>16</v>
      </c>
      <c r="C21" s="8">
        <v>228</v>
      </c>
      <c r="D21" s="8">
        <v>286</v>
      </c>
      <c r="E21" s="8">
        <f t="shared" si="0"/>
        <v>58</v>
      </c>
    </row>
    <row r="22" spans="2:5" x14ac:dyDescent="0.2">
      <c r="B22" s="8">
        <v>17</v>
      </c>
      <c r="C22" s="8">
        <v>62</v>
      </c>
      <c r="D22" s="8">
        <v>122</v>
      </c>
      <c r="E22" s="8">
        <f t="shared" si="0"/>
        <v>60</v>
      </c>
    </row>
    <row r="23" spans="2:5" x14ac:dyDescent="0.2">
      <c r="B23" s="8">
        <v>18</v>
      </c>
      <c r="C23" s="8">
        <v>393</v>
      </c>
      <c r="D23" s="8">
        <v>443</v>
      </c>
      <c r="E23" s="8">
        <f t="shared" si="0"/>
        <v>50</v>
      </c>
    </row>
    <row r="24" spans="2:5" x14ac:dyDescent="0.2">
      <c r="B24" s="8">
        <v>19</v>
      </c>
      <c r="C24" s="8">
        <v>277</v>
      </c>
      <c r="D24" s="8">
        <v>366</v>
      </c>
      <c r="E24" s="8">
        <f t="shared" si="0"/>
        <v>89</v>
      </c>
    </row>
    <row r="25" spans="2:5" x14ac:dyDescent="0.2">
      <c r="B25" s="8">
        <v>20</v>
      </c>
      <c r="C25" s="8">
        <v>206</v>
      </c>
      <c r="D25" s="8">
        <v>244</v>
      </c>
      <c r="E25" s="8">
        <f t="shared" si="0"/>
        <v>38</v>
      </c>
    </row>
    <row r="26" spans="2:5" x14ac:dyDescent="0.2">
      <c r="B26" s="8">
        <v>21</v>
      </c>
      <c r="C26" s="8">
        <v>229</v>
      </c>
      <c r="D26" s="8">
        <v>241</v>
      </c>
      <c r="E26" s="8">
        <f t="shared" si="0"/>
        <v>12</v>
      </c>
    </row>
    <row r="27" spans="2:5" x14ac:dyDescent="0.2">
      <c r="B27" s="8">
        <v>22</v>
      </c>
      <c r="C27" s="8">
        <v>182</v>
      </c>
      <c r="D27" s="8">
        <v>237</v>
      </c>
      <c r="E27" s="8">
        <f t="shared" si="0"/>
        <v>55</v>
      </c>
    </row>
    <row r="28" spans="2:5" x14ac:dyDescent="0.2">
      <c r="B28" s="8">
        <v>23</v>
      </c>
      <c r="C28" s="8">
        <v>98</v>
      </c>
      <c r="D28" s="8">
        <v>122</v>
      </c>
      <c r="E28" s="8">
        <f t="shared" si="0"/>
        <v>24</v>
      </c>
    </row>
    <row r="29" spans="2:5" x14ac:dyDescent="0.2">
      <c r="B29" s="8">
        <v>24</v>
      </c>
      <c r="C29" s="8">
        <v>125</v>
      </c>
      <c r="D29" s="8">
        <v>129</v>
      </c>
      <c r="E29" s="8">
        <f t="shared" si="0"/>
        <v>4</v>
      </c>
    </row>
    <row r="30" spans="2:5" x14ac:dyDescent="0.2">
      <c r="B30" s="8">
        <v>25</v>
      </c>
      <c r="C30" s="8">
        <v>164</v>
      </c>
      <c r="D30" s="8">
        <v>236</v>
      </c>
      <c r="E30" s="8">
        <f t="shared" si="0"/>
        <v>72</v>
      </c>
    </row>
    <row r="31" spans="2:5" x14ac:dyDescent="0.2">
      <c r="B31" s="8">
        <v>26</v>
      </c>
      <c r="C31" s="8">
        <v>186</v>
      </c>
      <c r="D31" s="8">
        <v>251</v>
      </c>
      <c r="E31" s="8">
        <f t="shared" si="0"/>
        <v>65</v>
      </c>
    </row>
    <row r="32" spans="2:5" x14ac:dyDescent="0.2">
      <c r="B32" s="8">
        <v>27</v>
      </c>
      <c r="C32" s="8">
        <v>235</v>
      </c>
      <c r="D32" s="8">
        <v>283</v>
      </c>
      <c r="E32" s="8">
        <f t="shared" si="0"/>
        <v>48</v>
      </c>
    </row>
    <row r="33" spans="2:5" x14ac:dyDescent="0.2">
      <c r="B33" s="8">
        <v>28</v>
      </c>
      <c r="C33" s="8">
        <v>184</v>
      </c>
      <c r="D33" s="8">
        <v>225</v>
      </c>
      <c r="E33" s="8">
        <f t="shared" si="0"/>
        <v>41</v>
      </c>
    </row>
    <row r="34" spans="2:5" x14ac:dyDescent="0.2">
      <c r="B34" s="8">
        <v>29</v>
      </c>
      <c r="C34" s="8">
        <v>76</v>
      </c>
      <c r="D34" s="8">
        <v>102</v>
      </c>
      <c r="E34" s="8">
        <f t="shared" si="0"/>
        <v>26</v>
      </c>
    </row>
    <row r="35" spans="2:5" x14ac:dyDescent="0.2">
      <c r="B35" s="8">
        <v>30</v>
      </c>
      <c r="C35" s="8">
        <v>126</v>
      </c>
      <c r="D35" s="8">
        <v>180</v>
      </c>
      <c r="E35" s="8">
        <f t="shared" si="0"/>
        <v>54</v>
      </c>
    </row>
    <row r="36" spans="2:5" x14ac:dyDescent="0.2">
      <c r="B36" s="8">
        <v>31</v>
      </c>
      <c r="C36" s="8">
        <v>183</v>
      </c>
      <c r="D36" s="8">
        <v>247</v>
      </c>
      <c r="E36" s="8">
        <f t="shared" si="0"/>
        <v>64</v>
      </c>
    </row>
    <row r="37" spans="2:5" x14ac:dyDescent="0.2">
      <c r="B37" s="8">
        <v>32</v>
      </c>
      <c r="C37" s="8">
        <v>242</v>
      </c>
      <c r="D37" s="8">
        <v>343</v>
      </c>
      <c r="E37" s="8">
        <f t="shared" si="0"/>
        <v>101</v>
      </c>
    </row>
    <row r="38" spans="2:5" x14ac:dyDescent="0.2">
      <c r="B38" s="8">
        <v>33</v>
      </c>
      <c r="C38" s="8">
        <v>207</v>
      </c>
      <c r="D38" s="8">
        <v>283</v>
      </c>
      <c r="E38" s="8">
        <f t="shared" si="0"/>
        <v>76</v>
      </c>
    </row>
    <row r="39" spans="2:5" x14ac:dyDescent="0.2">
      <c r="B39" s="8">
        <v>34</v>
      </c>
      <c r="C39" s="8">
        <v>181</v>
      </c>
      <c r="D39" s="8">
        <v>253</v>
      </c>
      <c r="E39" s="8">
        <f t="shared" si="0"/>
        <v>72</v>
      </c>
    </row>
    <row r="40" spans="2:5" x14ac:dyDescent="0.2">
      <c r="B40" s="8">
        <v>35</v>
      </c>
      <c r="C40" s="8">
        <v>239</v>
      </c>
      <c r="D40" s="8">
        <v>263</v>
      </c>
      <c r="E40" s="8">
        <f t="shared" si="0"/>
        <v>24</v>
      </c>
    </row>
    <row r="41" spans="2:5" x14ac:dyDescent="0.2">
      <c r="B41" s="8">
        <v>36</v>
      </c>
      <c r="C41" s="8">
        <v>216</v>
      </c>
      <c r="D41" s="8">
        <v>291</v>
      </c>
      <c r="E41" s="8">
        <f t="shared" si="0"/>
        <v>75</v>
      </c>
    </row>
    <row r="42" spans="2:5" x14ac:dyDescent="0.2">
      <c r="B42" s="8">
        <v>37</v>
      </c>
      <c r="C42" s="8">
        <v>289</v>
      </c>
      <c r="D42" s="8">
        <v>368</v>
      </c>
      <c r="E42" s="8">
        <f t="shared" si="0"/>
        <v>79</v>
      </c>
    </row>
    <row r="43" spans="2:5" x14ac:dyDescent="0.2">
      <c r="B43" s="8">
        <v>38</v>
      </c>
      <c r="C43" s="8">
        <v>213</v>
      </c>
      <c r="D43" s="8">
        <v>206</v>
      </c>
      <c r="E43" s="8">
        <f t="shared" si="0"/>
        <v>-7</v>
      </c>
    </row>
    <row r="44" spans="2:5" x14ac:dyDescent="0.2">
      <c r="B44" s="8">
        <v>39</v>
      </c>
      <c r="C44" s="8">
        <v>209</v>
      </c>
      <c r="D44" s="8">
        <v>231</v>
      </c>
      <c r="E44" s="8">
        <f t="shared" si="0"/>
        <v>22</v>
      </c>
    </row>
    <row r="45" spans="2:5" x14ac:dyDescent="0.2">
      <c r="B45" s="8">
        <v>40</v>
      </c>
      <c r="C45" s="8">
        <v>376</v>
      </c>
      <c r="D45" s="8">
        <v>389</v>
      </c>
      <c r="E45" s="8">
        <f t="shared" si="0"/>
        <v>13</v>
      </c>
    </row>
    <row r="46" spans="2:5" x14ac:dyDescent="0.2">
      <c r="B46" s="8">
        <v>41</v>
      </c>
      <c r="C46" s="8">
        <v>332</v>
      </c>
      <c r="D46" s="8">
        <v>396</v>
      </c>
      <c r="E46" s="8">
        <f t="shared" si="0"/>
        <v>64</v>
      </c>
    </row>
    <row r="47" spans="2:5" x14ac:dyDescent="0.2">
      <c r="B47" s="8">
        <v>42</v>
      </c>
      <c r="C47" s="8">
        <v>249</v>
      </c>
      <c r="D47" s="8">
        <v>339</v>
      </c>
      <c r="E47" s="8">
        <f t="shared" si="0"/>
        <v>90</v>
      </c>
    </row>
    <row r="48" spans="2:5" x14ac:dyDescent="0.2">
      <c r="B48" s="8">
        <v>43</v>
      </c>
      <c r="C48" s="8">
        <v>228</v>
      </c>
      <c r="D48" s="8">
        <v>286</v>
      </c>
      <c r="E48" s="8">
        <f t="shared" si="0"/>
        <v>58</v>
      </c>
    </row>
    <row r="49" spans="2:5" x14ac:dyDescent="0.2">
      <c r="B49" s="8">
        <v>44</v>
      </c>
      <c r="C49" s="8">
        <v>124</v>
      </c>
      <c r="D49" s="8">
        <v>146</v>
      </c>
      <c r="E49" s="8">
        <f t="shared" si="0"/>
        <v>22</v>
      </c>
    </row>
    <row r="50" spans="2:5" x14ac:dyDescent="0.2">
      <c r="B50" s="8">
        <v>45</v>
      </c>
      <c r="C50" s="8">
        <v>194</v>
      </c>
      <c r="D50" s="8">
        <v>315</v>
      </c>
      <c r="E50" s="8">
        <f t="shared" si="0"/>
        <v>121</v>
      </c>
    </row>
    <row r="51" spans="2:5" x14ac:dyDescent="0.2">
      <c r="B51" s="8">
        <v>46</v>
      </c>
      <c r="C51" s="8">
        <v>157</v>
      </c>
      <c r="D51" s="8">
        <v>183</v>
      </c>
      <c r="E51" s="8">
        <f t="shared" si="0"/>
        <v>26</v>
      </c>
    </row>
    <row r="52" spans="2:5" x14ac:dyDescent="0.2">
      <c r="B52" s="8">
        <v>47</v>
      </c>
      <c r="C52" s="8">
        <v>402</v>
      </c>
      <c r="D52" s="8">
        <v>481</v>
      </c>
      <c r="E52" s="8">
        <f t="shared" si="0"/>
        <v>79</v>
      </c>
    </row>
    <row r="53" spans="2:5" x14ac:dyDescent="0.2">
      <c r="B53" s="8">
        <v>48</v>
      </c>
      <c r="C53" s="8">
        <v>323</v>
      </c>
      <c r="D53" s="8">
        <v>349</v>
      </c>
      <c r="E53" s="8">
        <f t="shared" si="0"/>
        <v>26</v>
      </c>
    </row>
    <row r="54" spans="2:5" x14ac:dyDescent="0.2">
      <c r="B54" s="8">
        <v>49</v>
      </c>
      <c r="C54" s="8">
        <v>181</v>
      </c>
      <c r="D54" s="8">
        <v>225</v>
      </c>
      <c r="E54" s="8">
        <f t="shared" si="0"/>
        <v>44</v>
      </c>
    </row>
    <row r="55" spans="2:5" x14ac:dyDescent="0.2">
      <c r="B55" s="8">
        <v>50</v>
      </c>
      <c r="C55" s="8">
        <v>157</v>
      </c>
      <c r="D55" s="8">
        <v>217</v>
      </c>
      <c r="E55" s="8">
        <f t="shared" si="0"/>
        <v>60</v>
      </c>
    </row>
    <row r="56" spans="2:5" x14ac:dyDescent="0.2">
      <c r="B56" s="8">
        <v>51</v>
      </c>
      <c r="C56" s="8">
        <v>266</v>
      </c>
      <c r="D56" s="8">
        <v>353</v>
      </c>
      <c r="E56" s="8">
        <f t="shared" si="0"/>
        <v>87</v>
      </c>
    </row>
    <row r="57" spans="2:5" x14ac:dyDescent="0.2">
      <c r="B57" s="8">
        <v>52</v>
      </c>
      <c r="C57" s="8">
        <v>268</v>
      </c>
      <c r="D57" s="8">
        <v>314</v>
      </c>
      <c r="E57" s="8">
        <f t="shared" si="0"/>
        <v>46</v>
      </c>
    </row>
    <row r="58" spans="2:5" x14ac:dyDescent="0.2">
      <c r="B58" s="8">
        <v>53</v>
      </c>
      <c r="C58" s="8">
        <v>167</v>
      </c>
      <c r="D58" s="8">
        <v>247</v>
      </c>
      <c r="E58" s="8">
        <f t="shared" si="0"/>
        <v>80</v>
      </c>
    </row>
    <row r="59" spans="2:5" x14ac:dyDescent="0.2">
      <c r="B59" s="8">
        <v>54</v>
      </c>
      <c r="C59" s="8">
        <v>342</v>
      </c>
      <c r="D59" s="8">
        <v>410</v>
      </c>
      <c r="E59" s="8">
        <f t="shared" si="0"/>
        <v>68</v>
      </c>
    </row>
    <row r="60" spans="2:5" x14ac:dyDescent="0.2">
      <c r="B60" s="8">
        <v>55</v>
      </c>
      <c r="C60" s="8">
        <v>349</v>
      </c>
      <c r="D60" s="8">
        <v>395</v>
      </c>
      <c r="E60" s="8">
        <f t="shared" si="0"/>
        <v>46</v>
      </c>
    </row>
    <row r="61" spans="2:5" x14ac:dyDescent="0.2">
      <c r="B61" s="8">
        <v>56</v>
      </c>
      <c r="C61" s="8">
        <v>340</v>
      </c>
      <c r="D61" s="8">
        <v>416</v>
      </c>
      <c r="E61" s="8">
        <f t="shared" si="0"/>
        <v>76</v>
      </c>
    </row>
    <row r="62" spans="2:5" x14ac:dyDescent="0.2">
      <c r="B62" s="8">
        <v>57</v>
      </c>
      <c r="C62" s="8">
        <v>227</v>
      </c>
      <c r="D62" s="8">
        <v>342</v>
      </c>
      <c r="E62" s="8">
        <f t="shared" si="0"/>
        <v>115</v>
      </c>
    </row>
    <row r="63" spans="2:5" x14ac:dyDescent="0.2">
      <c r="B63" s="8">
        <v>58</v>
      </c>
      <c r="C63" s="8">
        <v>409</v>
      </c>
      <c r="D63" s="8">
        <v>446</v>
      </c>
      <c r="E63" s="8">
        <f t="shared" si="0"/>
        <v>37</v>
      </c>
    </row>
    <row r="64" spans="2:5" x14ac:dyDescent="0.2">
      <c r="B64" s="8">
        <v>59</v>
      </c>
      <c r="C64" s="8">
        <v>400</v>
      </c>
      <c r="D64" s="8">
        <v>477</v>
      </c>
      <c r="E64" s="8">
        <f t="shared" si="0"/>
        <v>77</v>
      </c>
    </row>
    <row r="65" spans="2:5" x14ac:dyDescent="0.2">
      <c r="B65" s="8">
        <v>60</v>
      </c>
      <c r="C65" s="8">
        <v>374</v>
      </c>
      <c r="D65" s="8">
        <v>444</v>
      </c>
      <c r="E65" s="8">
        <f t="shared" si="0"/>
        <v>70</v>
      </c>
    </row>
    <row r="66" spans="2:5" x14ac:dyDescent="0.2">
      <c r="B66" s="8">
        <v>61</v>
      </c>
      <c r="C66" s="8">
        <v>255</v>
      </c>
      <c r="D66" s="8">
        <v>351</v>
      </c>
      <c r="E66" s="8">
        <f t="shared" si="0"/>
        <v>96</v>
      </c>
    </row>
    <row r="67" spans="2:5" x14ac:dyDescent="0.2">
      <c r="B67" s="8">
        <v>62</v>
      </c>
      <c r="C67" s="8">
        <v>146</v>
      </c>
      <c r="D67" s="8">
        <v>165</v>
      </c>
      <c r="E67" s="8">
        <f t="shared" si="0"/>
        <v>19</v>
      </c>
    </row>
    <row r="68" spans="2:5" x14ac:dyDescent="0.2">
      <c r="B68" s="8">
        <v>63</v>
      </c>
      <c r="C68" s="8">
        <v>248</v>
      </c>
      <c r="D68" s="8">
        <v>317</v>
      </c>
      <c r="E68" s="8">
        <f t="shared" si="0"/>
        <v>69</v>
      </c>
    </row>
    <row r="69" spans="2:5" x14ac:dyDescent="0.2">
      <c r="B69" s="8">
        <v>64</v>
      </c>
      <c r="C69" s="8">
        <v>198</v>
      </c>
      <c r="D69" s="8">
        <v>250</v>
      </c>
      <c r="E69" s="8">
        <f t="shared" si="0"/>
        <v>52</v>
      </c>
    </row>
    <row r="70" spans="2:5" x14ac:dyDescent="0.2">
      <c r="B70" s="8">
        <v>65</v>
      </c>
      <c r="C70" s="8">
        <v>210</v>
      </c>
      <c r="D70" s="8">
        <v>217</v>
      </c>
      <c r="E70" s="8">
        <f t="shared" si="0"/>
        <v>7</v>
      </c>
    </row>
    <row r="71" spans="2:5" x14ac:dyDescent="0.2">
      <c r="B71" s="8">
        <v>66</v>
      </c>
      <c r="C71" s="8">
        <v>107</v>
      </c>
      <c r="D71" s="8">
        <v>138</v>
      </c>
      <c r="E71" s="8">
        <f t="shared" ref="E71:E100" si="1">D71-C71</f>
        <v>31</v>
      </c>
    </row>
    <row r="72" spans="2:5" x14ac:dyDescent="0.2">
      <c r="B72" s="8">
        <v>67</v>
      </c>
      <c r="C72" s="8">
        <v>239</v>
      </c>
      <c r="D72" s="8">
        <v>302</v>
      </c>
      <c r="E72" s="8">
        <f t="shared" si="1"/>
        <v>63</v>
      </c>
    </row>
    <row r="73" spans="2:5" x14ac:dyDescent="0.2">
      <c r="B73" s="8">
        <v>68</v>
      </c>
      <c r="C73" s="8">
        <v>287</v>
      </c>
      <c r="D73" s="8">
        <v>311</v>
      </c>
      <c r="E73" s="8">
        <f t="shared" si="1"/>
        <v>24</v>
      </c>
    </row>
    <row r="74" spans="2:5" x14ac:dyDescent="0.2">
      <c r="B74" s="8">
        <v>69</v>
      </c>
      <c r="C74" s="8">
        <v>340</v>
      </c>
      <c r="D74" s="8">
        <v>373</v>
      </c>
      <c r="E74" s="8">
        <f t="shared" si="1"/>
        <v>33</v>
      </c>
    </row>
    <row r="75" spans="2:5" x14ac:dyDescent="0.2">
      <c r="B75" s="8">
        <v>70</v>
      </c>
      <c r="C75" s="8">
        <v>155</v>
      </c>
      <c r="D75" s="8">
        <v>196</v>
      </c>
      <c r="E75" s="8">
        <f t="shared" si="1"/>
        <v>41</v>
      </c>
    </row>
    <row r="76" spans="2:5" x14ac:dyDescent="0.2">
      <c r="B76" s="8">
        <v>71</v>
      </c>
      <c r="C76" s="8">
        <v>263</v>
      </c>
      <c r="D76" s="8">
        <v>306</v>
      </c>
      <c r="E76" s="8">
        <f t="shared" si="1"/>
        <v>43</v>
      </c>
    </row>
    <row r="77" spans="2:5" x14ac:dyDescent="0.2">
      <c r="B77" s="8">
        <v>72</v>
      </c>
      <c r="C77" s="8">
        <v>265</v>
      </c>
      <c r="D77" s="8">
        <v>302</v>
      </c>
      <c r="E77" s="8">
        <f t="shared" si="1"/>
        <v>37</v>
      </c>
    </row>
    <row r="78" spans="2:5" x14ac:dyDescent="0.2">
      <c r="B78" s="8">
        <v>73</v>
      </c>
      <c r="C78" s="8">
        <v>249</v>
      </c>
      <c r="D78" s="8">
        <v>278</v>
      </c>
      <c r="E78" s="8">
        <f t="shared" si="1"/>
        <v>29</v>
      </c>
    </row>
    <row r="79" spans="2:5" x14ac:dyDescent="0.2">
      <c r="B79" s="8">
        <v>74</v>
      </c>
      <c r="C79" s="8">
        <v>377</v>
      </c>
      <c r="D79" s="8">
        <v>429</v>
      </c>
      <c r="E79" s="8">
        <f t="shared" si="1"/>
        <v>52</v>
      </c>
    </row>
    <row r="80" spans="2:5" x14ac:dyDescent="0.2">
      <c r="B80" s="8">
        <v>75</v>
      </c>
      <c r="C80" s="8">
        <v>301</v>
      </c>
      <c r="D80" s="8">
        <v>338</v>
      </c>
      <c r="E80" s="8">
        <f t="shared" si="1"/>
        <v>37</v>
      </c>
    </row>
    <row r="81" spans="2:5" x14ac:dyDescent="0.2">
      <c r="B81" s="8">
        <v>76</v>
      </c>
      <c r="C81" s="8">
        <v>242</v>
      </c>
      <c r="D81" s="8">
        <v>261</v>
      </c>
      <c r="E81" s="8">
        <f t="shared" si="1"/>
        <v>19</v>
      </c>
    </row>
    <row r="82" spans="2:5" x14ac:dyDescent="0.2">
      <c r="B82" s="8">
        <v>77</v>
      </c>
      <c r="C82" s="8">
        <v>211</v>
      </c>
      <c r="D82" s="8">
        <v>256</v>
      </c>
      <c r="E82" s="8">
        <f t="shared" si="1"/>
        <v>45</v>
      </c>
    </row>
    <row r="83" spans="2:5" x14ac:dyDescent="0.2">
      <c r="B83" s="8">
        <v>78</v>
      </c>
      <c r="C83" s="8">
        <v>160</v>
      </c>
      <c r="D83" s="8">
        <v>183</v>
      </c>
      <c r="E83" s="8">
        <f t="shared" si="1"/>
        <v>23</v>
      </c>
    </row>
    <row r="84" spans="2:5" x14ac:dyDescent="0.2">
      <c r="B84" s="8">
        <v>79</v>
      </c>
      <c r="C84" s="8">
        <v>218</v>
      </c>
      <c r="D84" s="8">
        <v>274</v>
      </c>
      <c r="E84" s="8">
        <f t="shared" si="1"/>
        <v>56</v>
      </c>
    </row>
    <row r="85" spans="2:5" x14ac:dyDescent="0.2">
      <c r="B85" s="8">
        <v>80</v>
      </c>
      <c r="C85" s="8">
        <v>133</v>
      </c>
      <c r="D85" s="8">
        <v>182</v>
      </c>
      <c r="E85" s="8">
        <f t="shared" si="1"/>
        <v>49</v>
      </c>
    </row>
    <row r="86" spans="2:5" x14ac:dyDescent="0.2">
      <c r="B86" s="8">
        <v>81</v>
      </c>
      <c r="C86" s="8">
        <v>122</v>
      </c>
      <c r="D86" s="8">
        <v>183</v>
      </c>
      <c r="E86" s="8">
        <f t="shared" si="1"/>
        <v>61</v>
      </c>
    </row>
    <row r="87" spans="2:5" x14ac:dyDescent="0.2">
      <c r="B87" s="8">
        <v>82</v>
      </c>
      <c r="C87" s="8">
        <v>236</v>
      </c>
      <c r="D87" s="8">
        <v>309</v>
      </c>
      <c r="E87" s="8">
        <f t="shared" si="1"/>
        <v>73</v>
      </c>
    </row>
    <row r="88" spans="2:5" x14ac:dyDescent="0.2">
      <c r="B88" s="8">
        <v>83</v>
      </c>
      <c r="C88" s="8">
        <v>143</v>
      </c>
      <c r="D88" s="8">
        <v>178</v>
      </c>
      <c r="E88" s="8">
        <f t="shared" si="1"/>
        <v>35</v>
      </c>
    </row>
    <row r="89" spans="2:5" x14ac:dyDescent="0.2">
      <c r="B89" s="8">
        <v>84</v>
      </c>
      <c r="C89" s="8">
        <v>354</v>
      </c>
      <c r="D89" s="8">
        <v>458</v>
      </c>
      <c r="E89" s="8">
        <f t="shared" si="1"/>
        <v>104</v>
      </c>
    </row>
    <row r="90" spans="2:5" x14ac:dyDescent="0.2">
      <c r="B90" s="8">
        <v>85</v>
      </c>
      <c r="C90" s="8">
        <v>214</v>
      </c>
      <c r="D90" s="8">
        <v>234</v>
      </c>
      <c r="E90" s="8">
        <f t="shared" si="1"/>
        <v>20</v>
      </c>
    </row>
    <row r="91" spans="2:5" x14ac:dyDescent="0.2">
      <c r="B91" s="8">
        <v>86</v>
      </c>
      <c r="C91" s="8">
        <v>225</v>
      </c>
      <c r="D91" s="8">
        <v>306</v>
      </c>
      <c r="E91" s="8">
        <f t="shared" si="1"/>
        <v>81</v>
      </c>
    </row>
    <row r="92" spans="2:5" x14ac:dyDescent="0.2">
      <c r="B92" s="8">
        <v>87</v>
      </c>
      <c r="C92" s="8">
        <v>261</v>
      </c>
      <c r="D92" s="8">
        <v>400</v>
      </c>
      <c r="E92" s="8">
        <f t="shared" si="1"/>
        <v>139</v>
      </c>
    </row>
    <row r="93" spans="2:5" x14ac:dyDescent="0.2">
      <c r="B93" s="8">
        <v>88</v>
      </c>
      <c r="C93" s="8">
        <v>277</v>
      </c>
      <c r="D93" s="8">
        <v>337</v>
      </c>
      <c r="E93" s="8">
        <f t="shared" si="1"/>
        <v>60</v>
      </c>
    </row>
    <row r="94" spans="2:5" x14ac:dyDescent="0.2">
      <c r="B94" s="8">
        <v>89</v>
      </c>
      <c r="C94" s="8">
        <v>282</v>
      </c>
      <c r="D94" s="8">
        <v>325</v>
      </c>
      <c r="E94" s="8">
        <f t="shared" si="1"/>
        <v>43</v>
      </c>
    </row>
    <row r="95" spans="2:5" x14ac:dyDescent="0.2">
      <c r="B95" s="8">
        <v>90</v>
      </c>
      <c r="C95" s="8">
        <v>322</v>
      </c>
      <c r="D95" s="8">
        <v>329</v>
      </c>
      <c r="E95" s="8">
        <f t="shared" si="1"/>
        <v>7</v>
      </c>
    </row>
    <row r="96" spans="2:5" x14ac:dyDescent="0.2">
      <c r="B96" s="8">
        <v>91</v>
      </c>
      <c r="C96" s="8">
        <v>326</v>
      </c>
      <c r="D96" s="8">
        <v>369</v>
      </c>
      <c r="E96" s="8">
        <f t="shared" si="1"/>
        <v>43</v>
      </c>
    </row>
    <row r="97" spans="2:5" x14ac:dyDescent="0.2">
      <c r="B97" s="8">
        <v>92</v>
      </c>
      <c r="C97" s="8">
        <v>421</v>
      </c>
      <c r="D97" s="8">
        <v>457</v>
      </c>
      <c r="E97" s="8">
        <f t="shared" si="1"/>
        <v>36</v>
      </c>
    </row>
    <row r="98" spans="2:5" x14ac:dyDescent="0.2">
      <c r="B98" s="8">
        <v>93</v>
      </c>
      <c r="C98" s="8">
        <v>368</v>
      </c>
      <c r="D98" s="8">
        <v>421</v>
      </c>
      <c r="E98" s="8">
        <f t="shared" si="1"/>
        <v>53</v>
      </c>
    </row>
    <row r="99" spans="2:5" x14ac:dyDescent="0.2">
      <c r="B99" s="8">
        <v>94</v>
      </c>
      <c r="C99" s="8">
        <v>279</v>
      </c>
      <c r="D99" s="8">
        <v>282</v>
      </c>
      <c r="E99" s="8">
        <f t="shared" si="1"/>
        <v>3</v>
      </c>
    </row>
    <row r="100" spans="2:5" x14ac:dyDescent="0.2">
      <c r="B100" s="8">
        <v>95</v>
      </c>
      <c r="C100" s="8">
        <v>268</v>
      </c>
      <c r="D100" s="8">
        <v>256</v>
      </c>
      <c r="E100" s="8">
        <f t="shared" si="1"/>
        <v>-12</v>
      </c>
    </row>
  </sheetData>
  <mergeCells count="3">
    <mergeCell ref="G5:H5"/>
    <mergeCell ref="J5:K5"/>
    <mergeCell ref="M5:N5"/>
  </mergeCells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74DC0-C63D-4212-AC06-1C9212BF04B2}">
  <sheetPr codeName="Sheet35">
    <tabColor theme="9" tint="0.79998168889431442"/>
  </sheetPr>
  <dimension ref="B1:Q64"/>
  <sheetViews>
    <sheetView showGridLines="0" topLeftCell="E1" workbookViewId="0">
      <selection activeCell="O11" sqref="O11"/>
    </sheetView>
  </sheetViews>
  <sheetFormatPr baseColWidth="10" defaultColWidth="8.83203125" defaultRowHeight="15" x14ac:dyDescent="0.2"/>
  <cols>
    <col min="1" max="1" width="2.83203125" customWidth="1"/>
    <col min="2" max="2" width="19.6640625" customWidth="1"/>
    <col min="3" max="3" width="2.83203125" customWidth="1"/>
    <col min="4" max="4" width="17" bestFit="1" customWidth="1"/>
    <col min="6" max="6" width="15.5" bestFit="1" customWidth="1"/>
    <col min="7" max="8" width="14.33203125" customWidth="1"/>
    <col min="10" max="11" width="11.5" customWidth="1"/>
    <col min="13" max="13" width="19.83203125" bestFit="1" customWidth="1"/>
    <col min="14" max="14" width="12" bestFit="1" customWidth="1"/>
    <col min="16" max="16" width="14.33203125" customWidth="1"/>
    <col min="17" max="17" width="11.5" customWidth="1"/>
  </cols>
  <sheetData>
    <row r="1" spans="2:17" ht="25.5" customHeight="1" x14ac:dyDescent="0.25">
      <c r="B1" s="18" t="s">
        <v>174</v>
      </c>
    </row>
    <row r="2" spans="2:17" ht="15" customHeight="1" x14ac:dyDescent="0.2">
      <c r="B2" s="30" t="s">
        <v>175</v>
      </c>
    </row>
    <row r="3" spans="2:17" ht="18" customHeight="1" x14ac:dyDescent="0.2"/>
    <row r="4" spans="2:17" x14ac:dyDescent="0.2">
      <c r="F4" s="3" t="s">
        <v>54</v>
      </c>
      <c r="J4" s="3" t="s">
        <v>54</v>
      </c>
      <c r="M4" s="3" t="s">
        <v>54</v>
      </c>
      <c r="P4" s="3" t="s">
        <v>54</v>
      </c>
    </row>
    <row r="5" spans="2:17" x14ac:dyDescent="0.2">
      <c r="B5" s="7" t="s">
        <v>58</v>
      </c>
      <c r="D5" s="7" t="s">
        <v>59</v>
      </c>
      <c r="F5" s="115" t="s">
        <v>139</v>
      </c>
      <c r="G5" s="115"/>
      <c r="H5" s="115"/>
      <c r="J5" s="115" t="s">
        <v>179</v>
      </c>
      <c r="K5" s="115"/>
      <c r="M5" s="115" t="s">
        <v>141</v>
      </c>
      <c r="N5" s="115"/>
      <c r="P5" s="115" t="s">
        <v>147</v>
      </c>
      <c r="Q5" s="115"/>
    </row>
    <row r="6" spans="2:17" ht="17" x14ac:dyDescent="0.25">
      <c r="B6" s="8">
        <v>90.2</v>
      </c>
      <c r="D6" s="8">
        <v>68.7</v>
      </c>
      <c r="G6" s="17" t="s">
        <v>24</v>
      </c>
      <c r="H6" s="17" t="s">
        <v>26</v>
      </c>
      <c r="J6" s="20" t="s">
        <v>180</v>
      </c>
      <c r="K6" s="72">
        <f>G9-H9</f>
        <v>1.8650659133709979</v>
      </c>
      <c r="M6" s="20" t="s">
        <v>142</v>
      </c>
      <c r="N6" s="77">
        <v>0.9</v>
      </c>
      <c r="P6" s="20" t="s">
        <v>148</v>
      </c>
      <c r="Q6" s="72">
        <f>K6-N12</f>
        <v>-0.37180434364131498</v>
      </c>
    </row>
    <row r="7" spans="2:17" x14ac:dyDescent="0.2">
      <c r="B7" s="8">
        <v>92.8</v>
      </c>
      <c r="D7" s="8">
        <v>80.7</v>
      </c>
      <c r="F7" s="20" t="s">
        <v>176</v>
      </c>
      <c r="G7" s="71">
        <f>COUNT(B6:B41)</f>
        <v>36</v>
      </c>
      <c r="H7" s="71">
        <f>COUNT(D6:D64)</f>
        <v>59</v>
      </c>
      <c r="M7" s="20" t="s">
        <v>143</v>
      </c>
      <c r="N7" s="82">
        <f>1-N6</f>
        <v>9.9999999999999978E-2</v>
      </c>
      <c r="P7" s="20" t="s">
        <v>149</v>
      </c>
      <c r="Q7" s="72">
        <f>K6+N12</f>
        <v>4.1019361703833113</v>
      </c>
    </row>
    <row r="8" spans="2:17" x14ac:dyDescent="0.2">
      <c r="B8" s="8">
        <v>88.7</v>
      </c>
      <c r="D8" s="8">
        <v>74.900000000000006</v>
      </c>
      <c r="F8" s="20" t="s">
        <v>184</v>
      </c>
      <c r="G8" s="71">
        <f>G7-1</f>
        <v>35</v>
      </c>
      <c r="H8" s="71">
        <f>H7-1</f>
        <v>58</v>
      </c>
      <c r="M8" s="20" t="s">
        <v>144</v>
      </c>
      <c r="N8" s="71">
        <f>N7/2</f>
        <v>4.9999999999999989E-2</v>
      </c>
    </row>
    <row r="9" spans="2:17" x14ac:dyDescent="0.2">
      <c r="B9" s="8">
        <v>87.5</v>
      </c>
      <c r="D9" s="8">
        <v>80.7</v>
      </c>
      <c r="F9" s="20" t="s">
        <v>177</v>
      </c>
      <c r="G9" s="72">
        <f>AVERAGE(B6:B41)</f>
        <v>81.327777777777783</v>
      </c>
      <c r="H9" s="72">
        <f>AVERAGE(D6:D64)</f>
        <v>79.462711864406785</v>
      </c>
      <c r="M9" s="20" t="s">
        <v>181</v>
      </c>
      <c r="N9" s="75">
        <f>(G11+H11)^2/(G11^2/G8+H11^2/H8)</f>
        <v>66.531119815425654</v>
      </c>
    </row>
    <row r="10" spans="2:17" ht="17" x14ac:dyDescent="0.2">
      <c r="B10" s="8">
        <v>71.3</v>
      </c>
      <c r="D10" s="8">
        <v>83.3</v>
      </c>
      <c r="F10" s="20" t="s">
        <v>178</v>
      </c>
      <c r="G10" s="75">
        <f>_xlfn.VAR.S(B6:B41)</f>
        <v>44.135206349206364</v>
      </c>
      <c r="H10" s="75">
        <f>_xlfn.VAR.S(D6:D64)</f>
        <v>33.739275277615427</v>
      </c>
      <c r="M10" s="20" t="s">
        <v>156</v>
      </c>
      <c r="N10" s="70">
        <f>_xlfn.T.INV(1-N8,N9)</f>
        <v>1.6682705142276302</v>
      </c>
    </row>
    <row r="11" spans="2:17" ht="17" x14ac:dyDescent="0.2">
      <c r="B11" s="8">
        <v>72.3</v>
      </c>
      <c r="D11" s="8">
        <v>75.400000000000006</v>
      </c>
      <c r="F11" s="20" t="s">
        <v>183</v>
      </c>
      <c r="G11" s="70">
        <f>G10/G7</f>
        <v>1.2259779541446212</v>
      </c>
      <c r="H11" s="70">
        <f>H10/H7</f>
        <v>0.57185212334941404</v>
      </c>
      <c r="M11" s="20" t="s">
        <v>146</v>
      </c>
      <c r="N11" s="75">
        <f>SQRT(G11+H11)</f>
        <v>1.3408318602621416</v>
      </c>
    </row>
    <row r="12" spans="2:17" x14ac:dyDescent="0.2">
      <c r="B12" s="8">
        <v>96.1</v>
      </c>
      <c r="D12" s="8">
        <v>82.1</v>
      </c>
      <c r="M12" s="20" t="s">
        <v>150</v>
      </c>
      <c r="N12" s="75">
        <f>N10*N11</f>
        <v>2.2368702570123129</v>
      </c>
    </row>
    <row r="13" spans="2:17" x14ac:dyDescent="0.2">
      <c r="B13" s="8">
        <v>80.3</v>
      </c>
      <c r="D13" s="8">
        <v>66.900000000000006</v>
      </c>
    </row>
    <row r="14" spans="2:17" x14ac:dyDescent="0.2">
      <c r="B14" s="8">
        <v>79.099999999999994</v>
      </c>
      <c r="D14" s="8">
        <v>76.8</v>
      </c>
    </row>
    <row r="15" spans="2:17" x14ac:dyDescent="0.2">
      <c r="B15" s="8">
        <v>87.5</v>
      </c>
      <c r="D15" s="8">
        <v>72.400000000000006</v>
      </c>
    </row>
    <row r="16" spans="2:17" x14ac:dyDescent="0.2">
      <c r="B16" s="8">
        <v>80.8</v>
      </c>
      <c r="D16" s="8">
        <v>72</v>
      </c>
    </row>
    <row r="17" spans="2:4" x14ac:dyDescent="0.2">
      <c r="B17" s="8">
        <v>88.9</v>
      </c>
      <c r="D17" s="8">
        <v>81</v>
      </c>
    </row>
    <row r="18" spans="2:4" x14ac:dyDescent="0.2">
      <c r="B18" s="8">
        <v>82.3</v>
      </c>
      <c r="D18" s="8">
        <v>76.7</v>
      </c>
    </row>
    <row r="19" spans="2:4" x14ac:dyDescent="0.2">
      <c r="B19" s="8">
        <v>83.4</v>
      </c>
      <c r="D19" s="8">
        <v>77.8</v>
      </c>
    </row>
    <row r="20" spans="2:4" x14ac:dyDescent="0.2">
      <c r="B20" s="8">
        <v>77.8</v>
      </c>
      <c r="D20" s="8">
        <v>62.6</v>
      </c>
    </row>
    <row r="21" spans="2:4" x14ac:dyDescent="0.2">
      <c r="B21" s="8">
        <v>71</v>
      </c>
      <c r="D21" s="8">
        <v>80.2</v>
      </c>
    </row>
    <row r="22" spans="2:4" x14ac:dyDescent="0.2">
      <c r="B22" s="8">
        <v>87.2</v>
      </c>
      <c r="D22" s="8">
        <v>77.8</v>
      </c>
    </row>
    <row r="23" spans="2:4" x14ac:dyDescent="0.2">
      <c r="B23" s="8">
        <v>82.9</v>
      </c>
      <c r="D23" s="8">
        <v>75.099999999999994</v>
      </c>
    </row>
    <row r="24" spans="2:4" x14ac:dyDescent="0.2">
      <c r="B24" s="8">
        <v>75.099999999999994</v>
      </c>
      <c r="D24" s="8">
        <v>82.2</v>
      </c>
    </row>
    <row r="25" spans="2:4" x14ac:dyDescent="0.2">
      <c r="B25" s="8">
        <v>74.900000000000006</v>
      </c>
      <c r="D25" s="8">
        <v>70.5</v>
      </c>
    </row>
    <row r="26" spans="2:4" x14ac:dyDescent="0.2">
      <c r="B26" s="8">
        <v>81.7</v>
      </c>
      <c r="D26" s="8">
        <v>70.8</v>
      </c>
    </row>
    <row r="27" spans="2:4" x14ac:dyDescent="0.2">
      <c r="B27" s="8">
        <v>83.8</v>
      </c>
      <c r="D27" s="8">
        <v>79.5</v>
      </c>
    </row>
    <row r="28" spans="2:4" x14ac:dyDescent="0.2">
      <c r="B28" s="8">
        <v>74.8</v>
      </c>
      <c r="D28" s="8">
        <v>79.599999999999994</v>
      </c>
    </row>
    <row r="29" spans="2:4" x14ac:dyDescent="0.2">
      <c r="B29" s="8">
        <v>82.7</v>
      </c>
      <c r="D29" s="8">
        <v>85.9</v>
      </c>
    </row>
    <row r="30" spans="2:4" x14ac:dyDescent="0.2">
      <c r="B30" s="8">
        <v>84</v>
      </c>
      <c r="D30" s="8">
        <v>76.7</v>
      </c>
    </row>
    <row r="31" spans="2:4" x14ac:dyDescent="0.2">
      <c r="B31" s="8">
        <v>80.099999999999994</v>
      </c>
      <c r="D31" s="8">
        <v>79.900000000000006</v>
      </c>
    </row>
    <row r="32" spans="2:4" x14ac:dyDescent="0.2">
      <c r="B32" s="8">
        <v>79.599999999999994</v>
      </c>
      <c r="D32" s="8">
        <v>86.2</v>
      </c>
    </row>
    <row r="33" spans="2:4" x14ac:dyDescent="0.2">
      <c r="B33" s="8">
        <v>78.900000000000006</v>
      </c>
      <c r="D33" s="8">
        <v>79.2</v>
      </c>
    </row>
    <row r="34" spans="2:4" x14ac:dyDescent="0.2">
      <c r="B34" s="8">
        <v>72</v>
      </c>
      <c r="D34" s="8">
        <v>85.2</v>
      </c>
    </row>
    <row r="35" spans="2:4" x14ac:dyDescent="0.2">
      <c r="B35" s="8">
        <v>74.2</v>
      </c>
      <c r="D35" s="8">
        <v>80.2</v>
      </c>
    </row>
    <row r="36" spans="2:4" x14ac:dyDescent="0.2">
      <c r="B36" s="8">
        <v>71.7</v>
      </c>
      <c r="D36" s="8">
        <v>73.5</v>
      </c>
    </row>
    <row r="37" spans="2:4" x14ac:dyDescent="0.2">
      <c r="B37" s="8">
        <v>87.4</v>
      </c>
      <c r="D37" s="8">
        <v>74.599999999999994</v>
      </c>
    </row>
    <row r="38" spans="2:4" x14ac:dyDescent="0.2">
      <c r="B38" s="8">
        <v>77.400000000000006</v>
      </c>
      <c r="D38" s="8">
        <v>85.1</v>
      </c>
    </row>
    <row r="39" spans="2:4" x14ac:dyDescent="0.2">
      <c r="B39" s="8">
        <v>78.8</v>
      </c>
      <c r="D39" s="8">
        <v>84.6</v>
      </c>
    </row>
    <row r="40" spans="2:4" x14ac:dyDescent="0.2">
      <c r="B40" s="8">
        <v>92.7</v>
      </c>
      <c r="D40" s="8">
        <v>81.400000000000006</v>
      </c>
    </row>
    <row r="41" spans="2:4" x14ac:dyDescent="0.2">
      <c r="B41" s="8">
        <v>77.900000000000006</v>
      </c>
      <c r="D41" s="8">
        <v>88.5</v>
      </c>
    </row>
    <row r="42" spans="2:4" x14ac:dyDescent="0.2">
      <c r="D42" s="8">
        <v>84.9</v>
      </c>
    </row>
    <row r="43" spans="2:4" x14ac:dyDescent="0.2">
      <c r="D43" s="8">
        <v>84.3</v>
      </c>
    </row>
    <row r="44" spans="2:4" x14ac:dyDescent="0.2">
      <c r="D44" s="8">
        <v>78.2</v>
      </c>
    </row>
    <row r="45" spans="2:4" x14ac:dyDescent="0.2">
      <c r="D45" s="8">
        <v>80</v>
      </c>
    </row>
    <row r="46" spans="2:4" x14ac:dyDescent="0.2">
      <c r="D46" s="8">
        <v>78.5</v>
      </c>
    </row>
    <row r="47" spans="2:4" x14ac:dyDescent="0.2">
      <c r="D47" s="8">
        <v>71.8</v>
      </c>
    </row>
    <row r="48" spans="2:4" x14ac:dyDescent="0.2">
      <c r="D48" s="8">
        <v>69.900000000000006</v>
      </c>
    </row>
    <row r="49" spans="4:4" x14ac:dyDescent="0.2">
      <c r="D49" s="8">
        <v>74</v>
      </c>
    </row>
    <row r="50" spans="4:4" x14ac:dyDescent="0.2">
      <c r="D50" s="8">
        <v>84.7</v>
      </c>
    </row>
    <row r="51" spans="4:4" x14ac:dyDescent="0.2">
      <c r="D51" s="8">
        <v>78.2</v>
      </c>
    </row>
    <row r="52" spans="4:4" x14ac:dyDescent="0.2">
      <c r="D52" s="8">
        <v>85</v>
      </c>
    </row>
    <row r="53" spans="4:4" x14ac:dyDescent="0.2">
      <c r="D53" s="8">
        <v>85.3</v>
      </c>
    </row>
    <row r="54" spans="4:4" x14ac:dyDescent="0.2">
      <c r="D54" s="8">
        <v>79.7</v>
      </c>
    </row>
    <row r="55" spans="4:4" x14ac:dyDescent="0.2">
      <c r="D55" s="8">
        <v>78.5</v>
      </c>
    </row>
    <row r="56" spans="4:4" x14ac:dyDescent="0.2">
      <c r="D56" s="8">
        <v>80.7</v>
      </c>
    </row>
    <row r="57" spans="4:4" x14ac:dyDescent="0.2">
      <c r="D57" s="8">
        <v>84.1</v>
      </c>
    </row>
    <row r="58" spans="4:4" x14ac:dyDescent="0.2">
      <c r="D58" s="8">
        <v>84.7</v>
      </c>
    </row>
    <row r="59" spans="4:4" x14ac:dyDescent="0.2">
      <c r="D59" s="8">
        <v>88.8</v>
      </c>
    </row>
    <row r="60" spans="4:4" x14ac:dyDescent="0.2">
      <c r="D60" s="8">
        <v>86.6</v>
      </c>
    </row>
    <row r="61" spans="4:4" x14ac:dyDescent="0.2">
      <c r="D61" s="8">
        <v>86.1</v>
      </c>
    </row>
    <row r="62" spans="4:4" x14ac:dyDescent="0.2">
      <c r="D62" s="8">
        <v>89.9</v>
      </c>
    </row>
    <row r="63" spans="4:4" x14ac:dyDescent="0.2">
      <c r="D63" s="8">
        <v>83.1</v>
      </c>
    </row>
    <row r="64" spans="4:4" x14ac:dyDescent="0.2">
      <c r="D64" s="8">
        <v>82.6</v>
      </c>
    </row>
  </sheetData>
  <mergeCells count="4">
    <mergeCell ref="P5:Q5"/>
    <mergeCell ref="F5:H5"/>
    <mergeCell ref="J5:K5"/>
    <mergeCell ref="M5:N5"/>
  </mergeCells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5CD06-FA79-4E0E-8D94-F818CF0B14A5}">
  <sheetPr codeName="Sheet36">
    <tabColor theme="9" tint="0.59999389629810485"/>
  </sheetPr>
  <dimension ref="B1:P100"/>
  <sheetViews>
    <sheetView showGridLines="0" topLeftCell="C1" workbookViewId="0">
      <selection activeCell="M11" sqref="M11"/>
    </sheetView>
  </sheetViews>
  <sheetFormatPr baseColWidth="10" defaultColWidth="8.83203125" defaultRowHeight="15" x14ac:dyDescent="0.2"/>
  <cols>
    <col min="1" max="1" width="2.83203125" customWidth="1"/>
    <col min="2" max="2" width="11.5" customWidth="1"/>
    <col min="3" max="3" width="20" customWidth="1"/>
    <col min="5" max="5" width="15.5" bestFit="1" customWidth="1"/>
    <col min="6" max="7" width="14.33203125" customWidth="1"/>
    <col min="9" max="10" width="11.5" customWidth="1"/>
    <col min="12" max="12" width="19.83203125" bestFit="1" customWidth="1"/>
    <col min="13" max="13" width="12" bestFit="1" customWidth="1"/>
    <col min="15" max="15" width="14.33203125" customWidth="1"/>
    <col min="16" max="16" width="11.5" customWidth="1"/>
  </cols>
  <sheetData>
    <row r="1" spans="2:16" ht="25.5" customHeight="1" x14ac:dyDescent="0.25">
      <c r="B1" s="18" t="s">
        <v>182</v>
      </c>
    </row>
    <row r="2" spans="2:16" ht="15" customHeight="1" x14ac:dyDescent="0.2">
      <c r="B2" s="30" t="s">
        <v>175</v>
      </c>
    </row>
    <row r="3" spans="2:16" ht="18" customHeight="1" x14ac:dyDescent="0.2"/>
    <row r="4" spans="2:16" x14ac:dyDescent="0.2">
      <c r="E4" s="3" t="s">
        <v>53</v>
      </c>
      <c r="I4" s="3" t="s">
        <v>54</v>
      </c>
      <c r="L4" s="3" t="s">
        <v>54</v>
      </c>
      <c r="O4" s="3" t="s">
        <v>54</v>
      </c>
    </row>
    <row r="5" spans="2:16" x14ac:dyDescent="0.2">
      <c r="B5" s="40" t="s">
        <v>12</v>
      </c>
      <c r="C5" s="41" t="s">
        <v>23</v>
      </c>
      <c r="E5" s="116" t="s">
        <v>139</v>
      </c>
      <c r="F5" s="116"/>
      <c r="G5" s="116"/>
      <c r="I5" s="115" t="s">
        <v>179</v>
      </c>
      <c r="J5" s="115"/>
      <c r="L5" s="115" t="s">
        <v>141</v>
      </c>
      <c r="M5" s="115"/>
      <c r="O5" s="115" t="s">
        <v>147</v>
      </c>
      <c r="P5" s="115"/>
    </row>
    <row r="6" spans="2:16" ht="17" x14ac:dyDescent="0.25">
      <c r="B6" s="8" t="s">
        <v>13</v>
      </c>
      <c r="C6" s="8">
        <v>276</v>
      </c>
      <c r="F6" s="17" t="s">
        <v>13</v>
      </c>
      <c r="G6" s="17" t="s">
        <v>14</v>
      </c>
      <c r="I6" s="20" t="s">
        <v>180</v>
      </c>
      <c r="J6" s="73">
        <f>F9-G9</f>
        <v>70.528301886792462</v>
      </c>
      <c r="L6" s="20" t="s">
        <v>142</v>
      </c>
      <c r="M6" s="77">
        <v>0.9</v>
      </c>
      <c r="O6" s="20" t="s">
        <v>148</v>
      </c>
      <c r="P6" s="73">
        <f>J6-M12</f>
        <v>40.555836759906974</v>
      </c>
    </row>
    <row r="7" spans="2:16" x14ac:dyDescent="0.2">
      <c r="B7" s="8" t="s">
        <v>14</v>
      </c>
      <c r="C7" s="8">
        <v>410</v>
      </c>
      <c r="E7" s="20" t="s">
        <v>176</v>
      </c>
      <c r="F7" s="71">
        <f>COUNTIFS(B6:B100,"Placed")</f>
        <v>53</v>
      </c>
      <c r="G7" s="71">
        <f>COUNTIFS(B6:B100,"Not Placed")</f>
        <v>42</v>
      </c>
      <c r="L7" s="20" t="s">
        <v>143</v>
      </c>
      <c r="M7" s="82">
        <f>1-M6</f>
        <v>9.9999999999999978E-2</v>
      </c>
      <c r="O7" s="20" t="s">
        <v>149</v>
      </c>
      <c r="P7" s="73">
        <f>J6+M12</f>
        <v>100.50076701367794</v>
      </c>
    </row>
    <row r="8" spans="2:16" x14ac:dyDescent="0.2">
      <c r="B8" s="8" t="s">
        <v>13</v>
      </c>
      <c r="C8" s="8">
        <v>119</v>
      </c>
      <c r="E8" s="20" t="s">
        <v>184</v>
      </c>
      <c r="F8" s="71">
        <f>F7-1</f>
        <v>52</v>
      </c>
      <c r="G8" s="71">
        <f>G7-1</f>
        <v>41</v>
      </c>
      <c r="L8" s="20" t="s">
        <v>144</v>
      </c>
      <c r="M8" s="71">
        <f>M7/2</f>
        <v>4.9999999999999989E-2</v>
      </c>
    </row>
    <row r="9" spans="2:16" x14ac:dyDescent="0.2">
      <c r="B9" s="8" t="s">
        <v>14</v>
      </c>
      <c r="C9" s="8">
        <v>334</v>
      </c>
      <c r="E9" s="20" t="s">
        <v>177</v>
      </c>
      <c r="F9" s="73">
        <f>AVERAGEIFS(C6:C100,B6:B100,"Placed")</f>
        <v>320.52830188679246</v>
      </c>
      <c r="G9" s="73">
        <f>AVERAGEIFS(C6:C100,B6:B100,"Not Placed")</f>
        <v>250</v>
      </c>
      <c r="L9" s="20" t="s">
        <v>181</v>
      </c>
      <c r="M9" s="75">
        <f>(F11+G11)^2/(F11^2/F8+G11^2/G8)</f>
        <v>87.464124652300455</v>
      </c>
    </row>
    <row r="10" spans="2:16" ht="17" x14ac:dyDescent="0.2">
      <c r="B10" s="8" t="s">
        <v>14</v>
      </c>
      <c r="C10" s="8">
        <v>252</v>
      </c>
      <c r="E10" s="20" t="s">
        <v>178</v>
      </c>
      <c r="F10" s="74" cm="1">
        <f t="array" ref="F10">_xlfn.VAR.S(IF(B6:B100="placed",C6:C100))</f>
        <v>7479.7924528301946</v>
      </c>
      <c r="G10" s="74" cm="1">
        <f t="array" ref="G10">_xlfn.VAR.S(_xlfn._xlws.FILTER(C6:C100,B6:B100=G6))</f>
        <v>7722.8780487804879</v>
      </c>
      <c r="L10" s="20" t="s">
        <v>156</v>
      </c>
      <c r="M10" s="70">
        <f>_xlfn.T.INV(1-M8,M9)</f>
        <v>1.662557349412876</v>
      </c>
    </row>
    <row r="11" spans="2:16" ht="17" x14ac:dyDescent="0.2">
      <c r="B11" s="8" t="s">
        <v>14</v>
      </c>
      <c r="C11" s="8">
        <v>209</v>
      </c>
      <c r="E11" s="20" t="s">
        <v>183</v>
      </c>
      <c r="F11" s="70">
        <f>F10/F7</f>
        <v>141.12815948736215</v>
      </c>
      <c r="G11" s="70">
        <f>G10/G7</f>
        <v>183.8780487804878</v>
      </c>
      <c r="L11" s="20" t="s">
        <v>146</v>
      </c>
      <c r="M11" s="75">
        <f>SQRT(F11+G11)</f>
        <v>18.027928562867391</v>
      </c>
    </row>
    <row r="12" spans="2:16" x14ac:dyDescent="0.2">
      <c r="B12" s="8" t="s">
        <v>13</v>
      </c>
      <c r="C12" s="8">
        <v>462</v>
      </c>
      <c r="L12" s="20" t="s">
        <v>150</v>
      </c>
      <c r="M12" s="75">
        <f>M10*M11</f>
        <v>29.972465126885488</v>
      </c>
    </row>
    <row r="13" spans="2:16" x14ac:dyDescent="0.2">
      <c r="B13" s="8" t="s">
        <v>13</v>
      </c>
      <c r="C13" s="8">
        <v>342</v>
      </c>
    </row>
    <row r="14" spans="2:16" x14ac:dyDescent="0.2">
      <c r="B14" s="8" t="s">
        <v>13</v>
      </c>
      <c r="C14" s="8">
        <v>347</v>
      </c>
    </row>
    <row r="15" spans="2:16" x14ac:dyDescent="0.2">
      <c r="B15" s="8" t="s">
        <v>13</v>
      </c>
      <c r="C15" s="8">
        <v>313</v>
      </c>
    </row>
    <row r="16" spans="2:16" x14ac:dyDescent="0.2">
      <c r="B16" s="8" t="s">
        <v>14</v>
      </c>
      <c r="C16" s="8">
        <v>232</v>
      </c>
    </row>
    <row r="17" spans="2:3" x14ac:dyDescent="0.2">
      <c r="B17" s="8" t="s">
        <v>13</v>
      </c>
      <c r="C17" s="8">
        <v>163</v>
      </c>
    </row>
    <row r="18" spans="2:3" x14ac:dyDescent="0.2">
      <c r="B18" s="8" t="s">
        <v>14</v>
      </c>
      <c r="C18" s="8">
        <v>119</v>
      </c>
    </row>
    <row r="19" spans="2:3" x14ac:dyDescent="0.2">
      <c r="B19" s="8" t="s">
        <v>13</v>
      </c>
      <c r="C19" s="8">
        <v>304</v>
      </c>
    </row>
    <row r="20" spans="2:3" x14ac:dyDescent="0.2">
      <c r="B20" s="8" t="s">
        <v>13</v>
      </c>
      <c r="C20" s="8">
        <v>211</v>
      </c>
    </row>
    <row r="21" spans="2:3" x14ac:dyDescent="0.2">
      <c r="B21" s="8" t="s">
        <v>13</v>
      </c>
      <c r="C21" s="8">
        <v>286</v>
      </c>
    </row>
    <row r="22" spans="2:3" x14ac:dyDescent="0.2">
      <c r="B22" s="8" t="s">
        <v>14</v>
      </c>
      <c r="C22" s="8">
        <v>122</v>
      </c>
    </row>
    <row r="23" spans="2:3" x14ac:dyDescent="0.2">
      <c r="B23" s="8" t="s">
        <v>13</v>
      </c>
      <c r="C23" s="8">
        <v>443</v>
      </c>
    </row>
    <row r="24" spans="2:3" x14ac:dyDescent="0.2">
      <c r="B24" s="8" t="s">
        <v>14</v>
      </c>
      <c r="C24" s="8">
        <v>366</v>
      </c>
    </row>
    <row r="25" spans="2:3" x14ac:dyDescent="0.2">
      <c r="B25" s="8" t="s">
        <v>14</v>
      </c>
      <c r="C25" s="8">
        <v>244</v>
      </c>
    </row>
    <row r="26" spans="2:3" x14ac:dyDescent="0.2">
      <c r="B26" s="8" t="s">
        <v>14</v>
      </c>
      <c r="C26" s="8">
        <v>241</v>
      </c>
    </row>
    <row r="27" spans="2:3" x14ac:dyDescent="0.2">
      <c r="B27" s="8" t="s">
        <v>13</v>
      </c>
      <c r="C27" s="8">
        <v>237</v>
      </c>
    </row>
    <row r="28" spans="2:3" x14ac:dyDescent="0.2">
      <c r="B28" s="8" t="s">
        <v>14</v>
      </c>
      <c r="C28" s="8">
        <v>122</v>
      </c>
    </row>
    <row r="29" spans="2:3" x14ac:dyDescent="0.2">
      <c r="B29" s="8" t="s">
        <v>14</v>
      </c>
      <c r="C29" s="8">
        <v>129</v>
      </c>
    </row>
    <row r="30" spans="2:3" x14ac:dyDescent="0.2">
      <c r="B30" s="8" t="s">
        <v>13</v>
      </c>
      <c r="C30" s="8">
        <v>236</v>
      </c>
    </row>
    <row r="31" spans="2:3" x14ac:dyDescent="0.2">
      <c r="B31" s="8" t="s">
        <v>13</v>
      </c>
      <c r="C31" s="8">
        <v>251</v>
      </c>
    </row>
    <row r="32" spans="2:3" x14ac:dyDescent="0.2">
      <c r="B32" s="8" t="s">
        <v>13</v>
      </c>
      <c r="C32" s="8">
        <v>283</v>
      </c>
    </row>
    <row r="33" spans="2:3" x14ac:dyDescent="0.2">
      <c r="B33" s="8" t="s">
        <v>14</v>
      </c>
      <c r="C33" s="8">
        <v>225</v>
      </c>
    </row>
    <row r="34" spans="2:3" x14ac:dyDescent="0.2">
      <c r="B34" s="8" t="s">
        <v>14</v>
      </c>
      <c r="C34" s="8">
        <v>102</v>
      </c>
    </row>
    <row r="35" spans="2:3" x14ac:dyDescent="0.2">
      <c r="B35" s="8" t="s">
        <v>13</v>
      </c>
      <c r="C35" s="8">
        <v>180</v>
      </c>
    </row>
    <row r="36" spans="2:3" x14ac:dyDescent="0.2">
      <c r="B36" s="8" t="s">
        <v>14</v>
      </c>
      <c r="C36" s="8">
        <v>247</v>
      </c>
    </row>
    <row r="37" spans="2:3" x14ac:dyDescent="0.2">
      <c r="B37" s="8" t="s">
        <v>14</v>
      </c>
      <c r="C37" s="8">
        <v>343</v>
      </c>
    </row>
    <row r="38" spans="2:3" x14ac:dyDescent="0.2">
      <c r="B38" s="8" t="s">
        <v>14</v>
      </c>
      <c r="C38" s="8">
        <v>283</v>
      </c>
    </row>
    <row r="39" spans="2:3" x14ac:dyDescent="0.2">
      <c r="B39" s="8" t="s">
        <v>13</v>
      </c>
      <c r="C39" s="8">
        <v>253</v>
      </c>
    </row>
    <row r="40" spans="2:3" x14ac:dyDescent="0.2">
      <c r="B40" s="8" t="s">
        <v>14</v>
      </c>
      <c r="C40" s="8">
        <v>263</v>
      </c>
    </row>
    <row r="41" spans="2:3" x14ac:dyDescent="0.2">
      <c r="B41" s="8" t="s">
        <v>13</v>
      </c>
      <c r="C41" s="8">
        <v>291</v>
      </c>
    </row>
    <row r="42" spans="2:3" x14ac:dyDescent="0.2">
      <c r="B42" s="8" t="s">
        <v>13</v>
      </c>
      <c r="C42" s="8">
        <v>368</v>
      </c>
    </row>
    <row r="43" spans="2:3" x14ac:dyDescent="0.2">
      <c r="B43" s="8" t="s">
        <v>14</v>
      </c>
      <c r="C43" s="8">
        <v>206</v>
      </c>
    </row>
    <row r="44" spans="2:3" x14ac:dyDescent="0.2">
      <c r="B44" s="8" t="s">
        <v>14</v>
      </c>
      <c r="C44" s="8">
        <v>231</v>
      </c>
    </row>
    <row r="45" spans="2:3" x14ac:dyDescent="0.2">
      <c r="B45" s="8" t="s">
        <v>14</v>
      </c>
      <c r="C45" s="8">
        <v>389</v>
      </c>
    </row>
    <row r="46" spans="2:3" x14ac:dyDescent="0.2">
      <c r="B46" s="8" t="s">
        <v>13</v>
      </c>
      <c r="C46" s="8">
        <v>396</v>
      </c>
    </row>
    <row r="47" spans="2:3" x14ac:dyDescent="0.2">
      <c r="B47" s="8" t="s">
        <v>13</v>
      </c>
      <c r="C47" s="8">
        <v>339</v>
      </c>
    </row>
    <row r="48" spans="2:3" x14ac:dyDescent="0.2">
      <c r="B48" s="8" t="s">
        <v>13</v>
      </c>
      <c r="C48" s="8">
        <v>286</v>
      </c>
    </row>
    <row r="49" spans="2:3" x14ac:dyDescent="0.2">
      <c r="B49" s="8" t="s">
        <v>14</v>
      </c>
      <c r="C49" s="8">
        <v>146</v>
      </c>
    </row>
    <row r="50" spans="2:3" x14ac:dyDescent="0.2">
      <c r="B50" s="8" t="s">
        <v>13</v>
      </c>
      <c r="C50" s="8">
        <v>315</v>
      </c>
    </row>
    <row r="51" spans="2:3" x14ac:dyDescent="0.2">
      <c r="B51" s="8" t="s">
        <v>14</v>
      </c>
      <c r="C51" s="8">
        <v>183</v>
      </c>
    </row>
    <row r="52" spans="2:3" x14ac:dyDescent="0.2">
      <c r="B52" s="8" t="s">
        <v>13</v>
      </c>
      <c r="C52" s="8">
        <v>481</v>
      </c>
    </row>
    <row r="53" spans="2:3" x14ac:dyDescent="0.2">
      <c r="B53" s="8" t="s">
        <v>14</v>
      </c>
      <c r="C53" s="8">
        <v>349</v>
      </c>
    </row>
    <row r="54" spans="2:3" x14ac:dyDescent="0.2">
      <c r="B54" s="8" t="s">
        <v>13</v>
      </c>
      <c r="C54" s="8">
        <v>225</v>
      </c>
    </row>
    <row r="55" spans="2:3" x14ac:dyDescent="0.2">
      <c r="B55" s="8" t="s">
        <v>13</v>
      </c>
      <c r="C55" s="8">
        <v>217</v>
      </c>
    </row>
    <row r="56" spans="2:3" x14ac:dyDescent="0.2">
      <c r="B56" s="8" t="s">
        <v>13</v>
      </c>
      <c r="C56" s="8">
        <v>353</v>
      </c>
    </row>
    <row r="57" spans="2:3" x14ac:dyDescent="0.2">
      <c r="B57" s="8" t="s">
        <v>14</v>
      </c>
      <c r="C57" s="8">
        <v>314</v>
      </c>
    </row>
    <row r="58" spans="2:3" x14ac:dyDescent="0.2">
      <c r="B58" s="8" t="s">
        <v>13</v>
      </c>
      <c r="C58" s="8">
        <v>247</v>
      </c>
    </row>
    <row r="59" spans="2:3" x14ac:dyDescent="0.2">
      <c r="B59" s="8" t="s">
        <v>13</v>
      </c>
      <c r="C59" s="8">
        <v>410</v>
      </c>
    </row>
    <row r="60" spans="2:3" x14ac:dyDescent="0.2">
      <c r="B60" s="8" t="s">
        <v>13</v>
      </c>
      <c r="C60" s="8">
        <v>395</v>
      </c>
    </row>
    <row r="61" spans="2:3" x14ac:dyDescent="0.2">
      <c r="B61" s="8" t="s">
        <v>13</v>
      </c>
      <c r="C61" s="8">
        <v>416</v>
      </c>
    </row>
    <row r="62" spans="2:3" x14ac:dyDescent="0.2">
      <c r="B62" s="8" t="s">
        <v>13</v>
      </c>
      <c r="C62" s="8">
        <v>342</v>
      </c>
    </row>
    <row r="63" spans="2:3" x14ac:dyDescent="0.2">
      <c r="B63" s="8" t="s">
        <v>13</v>
      </c>
      <c r="C63" s="8">
        <v>446</v>
      </c>
    </row>
    <row r="64" spans="2:3" x14ac:dyDescent="0.2">
      <c r="B64" s="8" t="s">
        <v>13</v>
      </c>
      <c r="C64" s="8">
        <v>477</v>
      </c>
    </row>
    <row r="65" spans="2:3" x14ac:dyDescent="0.2">
      <c r="B65" s="8" t="s">
        <v>13</v>
      </c>
      <c r="C65" s="8">
        <v>444</v>
      </c>
    </row>
    <row r="66" spans="2:3" x14ac:dyDescent="0.2">
      <c r="B66" s="8" t="s">
        <v>13</v>
      </c>
      <c r="C66" s="8">
        <v>351</v>
      </c>
    </row>
    <row r="67" spans="2:3" x14ac:dyDescent="0.2">
      <c r="B67" s="8" t="s">
        <v>14</v>
      </c>
      <c r="C67" s="8">
        <v>165</v>
      </c>
    </row>
    <row r="68" spans="2:3" x14ac:dyDescent="0.2">
      <c r="B68" s="8" t="s">
        <v>13</v>
      </c>
      <c r="C68" s="8">
        <v>317</v>
      </c>
    </row>
    <row r="69" spans="2:3" x14ac:dyDescent="0.2">
      <c r="B69" s="8" t="s">
        <v>13</v>
      </c>
      <c r="C69" s="8">
        <v>250</v>
      </c>
    </row>
    <row r="70" spans="2:3" x14ac:dyDescent="0.2">
      <c r="B70" s="8" t="s">
        <v>14</v>
      </c>
      <c r="C70" s="8">
        <v>217</v>
      </c>
    </row>
    <row r="71" spans="2:3" x14ac:dyDescent="0.2">
      <c r="B71" s="8" t="s">
        <v>14</v>
      </c>
      <c r="C71" s="8">
        <v>138</v>
      </c>
    </row>
    <row r="72" spans="2:3" x14ac:dyDescent="0.2">
      <c r="B72" s="8" t="s">
        <v>13</v>
      </c>
      <c r="C72" s="8">
        <v>302</v>
      </c>
    </row>
    <row r="73" spans="2:3" x14ac:dyDescent="0.2">
      <c r="B73" s="8" t="s">
        <v>14</v>
      </c>
      <c r="C73" s="8">
        <v>311</v>
      </c>
    </row>
    <row r="74" spans="2:3" x14ac:dyDescent="0.2">
      <c r="B74" s="8" t="s">
        <v>13</v>
      </c>
      <c r="C74" s="8">
        <v>373</v>
      </c>
    </row>
    <row r="75" spans="2:3" x14ac:dyDescent="0.2">
      <c r="B75" s="8" t="s">
        <v>14</v>
      </c>
      <c r="C75" s="8">
        <v>196</v>
      </c>
    </row>
    <row r="76" spans="2:3" x14ac:dyDescent="0.2">
      <c r="B76" s="8" t="s">
        <v>13</v>
      </c>
      <c r="C76" s="8">
        <v>306</v>
      </c>
    </row>
    <row r="77" spans="2:3" x14ac:dyDescent="0.2">
      <c r="B77" s="8" t="s">
        <v>14</v>
      </c>
      <c r="C77" s="8">
        <v>302</v>
      </c>
    </row>
    <row r="78" spans="2:3" x14ac:dyDescent="0.2">
      <c r="B78" s="8" t="s">
        <v>14</v>
      </c>
      <c r="C78" s="8">
        <v>278</v>
      </c>
    </row>
    <row r="79" spans="2:3" x14ac:dyDescent="0.2">
      <c r="B79" s="8" t="s">
        <v>14</v>
      </c>
      <c r="C79" s="8">
        <v>429</v>
      </c>
    </row>
    <row r="80" spans="2:3" x14ac:dyDescent="0.2">
      <c r="B80" s="8" t="s">
        <v>13</v>
      </c>
      <c r="C80" s="8">
        <v>338</v>
      </c>
    </row>
    <row r="81" spans="2:3" x14ac:dyDescent="0.2">
      <c r="B81" s="8" t="s">
        <v>14</v>
      </c>
      <c r="C81" s="8">
        <v>261</v>
      </c>
    </row>
    <row r="82" spans="2:3" x14ac:dyDescent="0.2">
      <c r="B82" s="8" t="s">
        <v>14</v>
      </c>
      <c r="C82" s="8">
        <v>256</v>
      </c>
    </row>
    <row r="83" spans="2:3" x14ac:dyDescent="0.2">
      <c r="B83" s="8" t="s">
        <v>13</v>
      </c>
      <c r="C83" s="8">
        <v>183</v>
      </c>
    </row>
    <row r="84" spans="2:3" x14ac:dyDescent="0.2">
      <c r="B84" s="8" t="s">
        <v>13</v>
      </c>
      <c r="C84" s="8">
        <v>274</v>
      </c>
    </row>
    <row r="85" spans="2:3" x14ac:dyDescent="0.2">
      <c r="B85" s="8" t="s">
        <v>14</v>
      </c>
      <c r="C85" s="8">
        <v>182</v>
      </c>
    </row>
    <row r="86" spans="2:3" x14ac:dyDescent="0.2">
      <c r="B86" s="8" t="s">
        <v>14</v>
      </c>
      <c r="C86" s="8">
        <v>183</v>
      </c>
    </row>
    <row r="87" spans="2:3" x14ac:dyDescent="0.2">
      <c r="B87" s="8" t="s">
        <v>13</v>
      </c>
      <c r="C87" s="8">
        <v>309</v>
      </c>
    </row>
    <row r="88" spans="2:3" x14ac:dyDescent="0.2">
      <c r="B88" s="8" t="s">
        <v>14</v>
      </c>
      <c r="C88" s="8">
        <v>178</v>
      </c>
    </row>
    <row r="89" spans="2:3" x14ac:dyDescent="0.2">
      <c r="B89" s="8" t="s">
        <v>13</v>
      </c>
      <c r="C89" s="8">
        <v>458</v>
      </c>
    </row>
    <row r="90" spans="2:3" x14ac:dyDescent="0.2">
      <c r="B90" s="8" t="s">
        <v>13</v>
      </c>
      <c r="C90" s="8">
        <v>234</v>
      </c>
    </row>
    <row r="91" spans="2:3" x14ac:dyDescent="0.2">
      <c r="B91" s="8" t="s">
        <v>13</v>
      </c>
      <c r="C91" s="8">
        <v>306</v>
      </c>
    </row>
    <row r="92" spans="2:3" x14ac:dyDescent="0.2">
      <c r="B92" s="8" t="s">
        <v>13</v>
      </c>
      <c r="C92" s="8">
        <v>400</v>
      </c>
    </row>
    <row r="93" spans="2:3" x14ac:dyDescent="0.2">
      <c r="B93" s="8" t="s">
        <v>14</v>
      </c>
      <c r="C93" s="8">
        <v>337</v>
      </c>
    </row>
    <row r="94" spans="2:3" x14ac:dyDescent="0.2">
      <c r="B94" s="8" t="s">
        <v>13</v>
      </c>
      <c r="C94" s="8">
        <v>325</v>
      </c>
    </row>
    <row r="95" spans="2:3" x14ac:dyDescent="0.2">
      <c r="B95" s="8" t="s">
        <v>14</v>
      </c>
      <c r="C95" s="8">
        <v>329</v>
      </c>
    </row>
    <row r="96" spans="2:3" x14ac:dyDescent="0.2">
      <c r="B96" s="8" t="s">
        <v>13</v>
      </c>
      <c r="C96" s="8">
        <v>369</v>
      </c>
    </row>
    <row r="97" spans="2:3" x14ac:dyDescent="0.2">
      <c r="B97" s="8" t="s">
        <v>13</v>
      </c>
      <c r="C97" s="8">
        <v>457</v>
      </c>
    </row>
    <row r="98" spans="2:3" x14ac:dyDescent="0.2">
      <c r="B98" s="8" t="s">
        <v>14</v>
      </c>
      <c r="C98" s="8">
        <v>421</v>
      </c>
    </row>
    <row r="99" spans="2:3" x14ac:dyDescent="0.2">
      <c r="B99" s="8" t="s">
        <v>13</v>
      </c>
      <c r="C99" s="8">
        <v>282</v>
      </c>
    </row>
    <row r="100" spans="2:3" x14ac:dyDescent="0.2">
      <c r="B100" s="8" t="s">
        <v>14</v>
      </c>
      <c r="C100" s="8">
        <v>256</v>
      </c>
    </row>
  </sheetData>
  <mergeCells count="4">
    <mergeCell ref="E5:G5"/>
    <mergeCell ref="I5:J5"/>
    <mergeCell ref="L5:M5"/>
    <mergeCell ref="O5:P5"/>
  </mergeCells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181C1-40FC-4F8D-AAEC-83F20D58236E}">
  <sheetPr codeName="Sheet37">
    <tabColor theme="9" tint="0.79998168889431442"/>
  </sheetPr>
  <dimension ref="B1:P100"/>
  <sheetViews>
    <sheetView showGridLines="0" topLeftCell="A2" workbookViewId="0">
      <selection activeCell="I57" sqref="H57:I57"/>
    </sheetView>
  </sheetViews>
  <sheetFormatPr baseColWidth="10" defaultColWidth="8.83203125" defaultRowHeight="15" x14ac:dyDescent="0.2"/>
  <cols>
    <col min="1" max="1" width="2.83203125" customWidth="1"/>
    <col min="2" max="2" width="17.1640625" customWidth="1"/>
    <col min="3" max="3" width="11.5" customWidth="1"/>
    <col min="5" max="5" width="15.5" bestFit="1" customWidth="1"/>
    <col min="6" max="7" width="9.1640625" customWidth="1"/>
    <col min="9" max="10" width="11.5" customWidth="1"/>
    <col min="12" max="12" width="19.83203125" bestFit="1" customWidth="1"/>
    <col min="13" max="13" width="12" bestFit="1" customWidth="1"/>
    <col min="15" max="15" width="14.33203125" customWidth="1"/>
    <col min="16" max="16" width="11.5" customWidth="1"/>
  </cols>
  <sheetData>
    <row r="1" spans="2:16" ht="25.5" customHeight="1" x14ac:dyDescent="0.25">
      <c r="B1" s="18" t="s">
        <v>187</v>
      </c>
    </row>
    <row r="2" spans="2:16" ht="15" customHeight="1" x14ac:dyDescent="0.2">
      <c r="B2" s="30" t="s">
        <v>186</v>
      </c>
    </row>
    <row r="3" spans="2:16" ht="18" customHeight="1" x14ac:dyDescent="0.2"/>
    <row r="4" spans="2:16" x14ac:dyDescent="0.2">
      <c r="E4" s="3" t="s">
        <v>54</v>
      </c>
      <c r="I4" s="3" t="s">
        <v>54</v>
      </c>
      <c r="L4" s="3" t="s">
        <v>54</v>
      </c>
      <c r="O4" s="3" t="s">
        <v>54</v>
      </c>
    </row>
    <row r="5" spans="2:16" x14ac:dyDescent="0.2">
      <c r="B5" s="40" t="s">
        <v>21</v>
      </c>
      <c r="C5" s="41" t="s">
        <v>12</v>
      </c>
      <c r="E5" s="115" t="s">
        <v>139</v>
      </c>
      <c r="F5" s="115"/>
      <c r="G5" s="115"/>
      <c r="I5" s="115" t="s">
        <v>179</v>
      </c>
      <c r="J5" s="115"/>
      <c r="L5" s="115" t="s">
        <v>141</v>
      </c>
      <c r="M5" s="115"/>
      <c r="O5" s="115" t="s">
        <v>147</v>
      </c>
      <c r="P5" s="115"/>
    </row>
    <row r="6" spans="2:16" ht="17" x14ac:dyDescent="0.25">
      <c r="B6" s="8" t="s">
        <v>25</v>
      </c>
      <c r="C6" s="8" t="s">
        <v>13</v>
      </c>
      <c r="F6" s="17" t="s">
        <v>27</v>
      </c>
      <c r="G6" s="17" t="s">
        <v>25</v>
      </c>
      <c r="I6" s="20" t="s">
        <v>307</v>
      </c>
      <c r="J6" s="70">
        <f>F8-G8</f>
        <v>0.23913043478260865</v>
      </c>
      <c r="L6" s="20" t="s">
        <v>142</v>
      </c>
      <c r="M6" s="77">
        <v>0.99</v>
      </c>
      <c r="O6" s="20" t="s">
        <v>148</v>
      </c>
      <c r="P6" s="88">
        <f>J6-M11</f>
        <v>-4.1334137258359216E-2</v>
      </c>
    </row>
    <row r="7" spans="2:16" x14ac:dyDescent="0.2">
      <c r="B7" s="8" t="s">
        <v>25</v>
      </c>
      <c r="C7" s="8" t="s">
        <v>14</v>
      </c>
      <c r="E7" s="20" t="s">
        <v>176</v>
      </c>
      <c r="F7" s="71">
        <f>COUNTIFS(B6:B100,B8)</f>
        <v>23</v>
      </c>
      <c r="G7" s="71">
        <f>COUNTIFS(B6:B100,B41)</f>
        <v>72</v>
      </c>
      <c r="L7" s="20" t="s">
        <v>143</v>
      </c>
      <c r="M7" s="82">
        <f>1-M6</f>
        <v>1.0000000000000009E-2</v>
      </c>
      <c r="O7" s="20" t="s">
        <v>149</v>
      </c>
      <c r="P7" s="88">
        <f>J6+M11</f>
        <v>0.51959500682357651</v>
      </c>
    </row>
    <row r="8" spans="2:16" x14ac:dyDescent="0.2">
      <c r="B8" s="8" t="s">
        <v>27</v>
      </c>
      <c r="C8" s="8" t="s">
        <v>13</v>
      </c>
      <c r="E8" s="20" t="s">
        <v>188</v>
      </c>
      <c r="F8" s="70">
        <f>COUNTIFS(B6:B100,F6,C6:C100,"Placed")/F7</f>
        <v>0.73913043478260865</v>
      </c>
      <c r="G8" s="70">
        <f>COUNTIFS(B6:B100,G6,C6:C100,"Placed")/G7</f>
        <v>0.5</v>
      </c>
      <c r="L8" s="20" t="s">
        <v>144</v>
      </c>
      <c r="M8" s="71">
        <f>M7/2</f>
        <v>5.0000000000000044E-3</v>
      </c>
    </row>
    <row r="9" spans="2:16" x14ac:dyDescent="0.2">
      <c r="B9" s="8" t="s">
        <v>25</v>
      </c>
      <c r="C9" s="8" t="s">
        <v>14</v>
      </c>
      <c r="E9" s="20" t="s">
        <v>159</v>
      </c>
      <c r="F9" s="70">
        <f>1-F8</f>
        <v>0.26086956521739135</v>
      </c>
      <c r="G9" s="70">
        <f>1-G8</f>
        <v>0.5</v>
      </c>
      <c r="L9" s="20" t="s">
        <v>152</v>
      </c>
      <c r="M9" s="70">
        <f>_xlfn.NORM.S.INV(1-M8)</f>
        <v>2.5758293035488999</v>
      </c>
    </row>
    <row r="10" spans="2:16" x14ac:dyDescent="0.2">
      <c r="B10" s="8" t="s">
        <v>25</v>
      </c>
      <c r="C10" s="8" t="s">
        <v>14</v>
      </c>
      <c r="E10" s="20"/>
      <c r="F10" s="44"/>
      <c r="G10" s="44"/>
      <c r="L10" s="20" t="s">
        <v>146</v>
      </c>
      <c r="M10" s="70">
        <f>SQRT(SUM(F8*F9/F7,G8*G9/G7))</f>
        <v>0.10888321351673119</v>
      </c>
    </row>
    <row r="11" spans="2:16" x14ac:dyDescent="0.2">
      <c r="B11" s="8" t="s">
        <v>25</v>
      </c>
      <c r="C11" s="8" t="s">
        <v>14</v>
      </c>
      <c r="E11" s="115" t="s">
        <v>163</v>
      </c>
      <c r="F11" s="115"/>
      <c r="G11" s="115"/>
      <c r="L11" s="20" t="s">
        <v>150</v>
      </c>
      <c r="M11" s="70">
        <f>M9*M10</f>
        <v>0.28046457204096786</v>
      </c>
    </row>
    <row r="12" spans="2:16" x14ac:dyDescent="0.2">
      <c r="B12" s="8" t="s">
        <v>25</v>
      </c>
      <c r="C12" s="8" t="s">
        <v>13</v>
      </c>
      <c r="E12" s="20" t="s">
        <v>308</v>
      </c>
      <c r="F12" s="71" t="str">
        <f>IF(F8*F7&gt;5,"Yes")</f>
        <v>Yes</v>
      </c>
      <c r="G12" s="71" t="str">
        <f>IF(G8*G7&gt;5,"Yes")</f>
        <v>Yes</v>
      </c>
    </row>
    <row r="13" spans="2:16" x14ac:dyDescent="0.2">
      <c r="B13" s="8" t="s">
        <v>25</v>
      </c>
      <c r="C13" s="8" t="s">
        <v>13</v>
      </c>
      <c r="E13" s="20" t="s">
        <v>165</v>
      </c>
      <c r="F13" s="71" t="str">
        <f>IF(F9*F7&gt;5,"Yes")</f>
        <v>Yes</v>
      </c>
      <c r="G13" s="71" t="str">
        <f>IF(G9*G7&gt;5,"Yes")</f>
        <v>Yes</v>
      </c>
    </row>
    <row r="14" spans="2:16" x14ac:dyDescent="0.2">
      <c r="B14" s="8" t="s">
        <v>25</v>
      </c>
      <c r="C14" s="8" t="s">
        <v>13</v>
      </c>
    </row>
    <row r="15" spans="2:16" x14ac:dyDescent="0.2">
      <c r="B15" s="8" t="s">
        <v>25</v>
      </c>
      <c r="C15" s="8" t="s">
        <v>13</v>
      </c>
    </row>
    <row r="16" spans="2:16" x14ac:dyDescent="0.2">
      <c r="B16" s="8" t="s">
        <v>25</v>
      </c>
      <c r="C16" s="8" t="s">
        <v>14</v>
      </c>
    </row>
    <row r="17" spans="2:3" x14ac:dyDescent="0.2">
      <c r="B17" s="8" t="s">
        <v>25</v>
      </c>
      <c r="C17" s="8" t="s">
        <v>13</v>
      </c>
    </row>
    <row r="18" spans="2:3" x14ac:dyDescent="0.2">
      <c r="B18" s="8" t="s">
        <v>25</v>
      </c>
      <c r="C18" s="8" t="s">
        <v>14</v>
      </c>
    </row>
    <row r="19" spans="2:3" x14ac:dyDescent="0.2">
      <c r="B19" s="8" t="s">
        <v>25</v>
      </c>
      <c r="C19" s="8" t="s">
        <v>13</v>
      </c>
    </row>
    <row r="20" spans="2:3" x14ac:dyDescent="0.2">
      <c r="B20" s="8" t="s">
        <v>25</v>
      </c>
      <c r="C20" s="8" t="s">
        <v>13</v>
      </c>
    </row>
    <row r="21" spans="2:3" x14ac:dyDescent="0.2">
      <c r="B21" s="8" t="s">
        <v>25</v>
      </c>
      <c r="C21" s="8" t="s">
        <v>13</v>
      </c>
    </row>
    <row r="22" spans="2:3" x14ac:dyDescent="0.2">
      <c r="B22" s="8" t="s">
        <v>27</v>
      </c>
      <c r="C22" s="8" t="s">
        <v>14</v>
      </c>
    </row>
    <row r="23" spans="2:3" x14ac:dyDescent="0.2">
      <c r="B23" s="8" t="s">
        <v>25</v>
      </c>
      <c r="C23" s="8" t="s">
        <v>13</v>
      </c>
    </row>
    <row r="24" spans="2:3" x14ac:dyDescent="0.2">
      <c r="B24" s="8" t="s">
        <v>25</v>
      </c>
      <c r="C24" s="8" t="s">
        <v>14</v>
      </c>
    </row>
    <row r="25" spans="2:3" x14ac:dyDescent="0.2">
      <c r="B25" s="8" t="s">
        <v>25</v>
      </c>
      <c r="C25" s="8" t="s">
        <v>14</v>
      </c>
    </row>
    <row r="26" spans="2:3" x14ac:dyDescent="0.2">
      <c r="B26" s="8" t="s">
        <v>25</v>
      </c>
      <c r="C26" s="8" t="s">
        <v>14</v>
      </c>
    </row>
    <row r="27" spans="2:3" x14ac:dyDescent="0.2">
      <c r="B27" s="8" t="s">
        <v>25</v>
      </c>
      <c r="C27" s="8" t="s">
        <v>13</v>
      </c>
    </row>
    <row r="28" spans="2:3" x14ac:dyDescent="0.2">
      <c r="B28" s="8" t="s">
        <v>25</v>
      </c>
      <c r="C28" s="8" t="s">
        <v>14</v>
      </c>
    </row>
    <row r="29" spans="2:3" x14ac:dyDescent="0.2">
      <c r="B29" s="8" t="s">
        <v>25</v>
      </c>
      <c r="C29" s="8" t="s">
        <v>14</v>
      </c>
    </row>
    <row r="30" spans="2:3" x14ac:dyDescent="0.2">
      <c r="B30" s="8" t="s">
        <v>25</v>
      </c>
      <c r="C30" s="8" t="s">
        <v>13</v>
      </c>
    </row>
    <row r="31" spans="2:3" x14ac:dyDescent="0.2">
      <c r="B31" s="8" t="s">
        <v>25</v>
      </c>
      <c r="C31" s="8" t="s">
        <v>13</v>
      </c>
    </row>
    <row r="32" spans="2:3" x14ac:dyDescent="0.2">
      <c r="B32" s="8" t="s">
        <v>25</v>
      </c>
      <c r="C32" s="8" t="s">
        <v>13</v>
      </c>
    </row>
    <row r="33" spans="2:3" x14ac:dyDescent="0.2">
      <c r="B33" s="8" t="s">
        <v>25</v>
      </c>
      <c r="C33" s="8" t="s">
        <v>14</v>
      </c>
    </row>
    <row r="34" spans="2:3" x14ac:dyDescent="0.2">
      <c r="B34" s="8" t="s">
        <v>25</v>
      </c>
      <c r="C34" s="8" t="s">
        <v>14</v>
      </c>
    </row>
    <row r="35" spans="2:3" x14ac:dyDescent="0.2">
      <c r="B35" s="8" t="s">
        <v>25</v>
      </c>
      <c r="C35" s="8" t="s">
        <v>13</v>
      </c>
    </row>
    <row r="36" spans="2:3" x14ac:dyDescent="0.2">
      <c r="B36" s="8" t="s">
        <v>25</v>
      </c>
      <c r="C36" s="8" t="s">
        <v>14</v>
      </c>
    </row>
    <row r="37" spans="2:3" x14ac:dyDescent="0.2">
      <c r="B37" s="8" t="s">
        <v>25</v>
      </c>
      <c r="C37" s="8" t="s">
        <v>14</v>
      </c>
    </row>
    <row r="38" spans="2:3" x14ac:dyDescent="0.2">
      <c r="B38" s="8" t="s">
        <v>25</v>
      </c>
      <c r="C38" s="8" t="s">
        <v>14</v>
      </c>
    </row>
    <row r="39" spans="2:3" x14ac:dyDescent="0.2">
      <c r="B39" s="8" t="s">
        <v>27</v>
      </c>
      <c r="C39" s="8" t="s">
        <v>13</v>
      </c>
    </row>
    <row r="40" spans="2:3" x14ac:dyDescent="0.2">
      <c r="B40" s="8" t="s">
        <v>25</v>
      </c>
      <c r="C40" s="8" t="s">
        <v>14</v>
      </c>
    </row>
    <row r="41" spans="2:3" x14ac:dyDescent="0.2">
      <c r="B41" s="8" t="s">
        <v>25</v>
      </c>
      <c r="C41" s="8" t="s">
        <v>13</v>
      </c>
    </row>
    <row r="42" spans="2:3" x14ac:dyDescent="0.2">
      <c r="B42" s="8" t="s">
        <v>27</v>
      </c>
      <c r="C42" s="8" t="s">
        <v>13</v>
      </c>
    </row>
    <row r="43" spans="2:3" x14ac:dyDescent="0.2">
      <c r="B43" s="8" t="s">
        <v>25</v>
      </c>
      <c r="C43" s="8" t="s">
        <v>14</v>
      </c>
    </row>
    <row r="44" spans="2:3" x14ac:dyDescent="0.2">
      <c r="B44" s="8" t="s">
        <v>25</v>
      </c>
      <c r="C44" s="8" t="s">
        <v>14</v>
      </c>
    </row>
    <row r="45" spans="2:3" x14ac:dyDescent="0.2">
      <c r="B45" s="8" t="s">
        <v>27</v>
      </c>
      <c r="C45" s="8" t="s">
        <v>14</v>
      </c>
    </row>
    <row r="46" spans="2:3" x14ac:dyDescent="0.2">
      <c r="B46" s="8" t="s">
        <v>25</v>
      </c>
      <c r="C46" s="8" t="s">
        <v>13</v>
      </c>
    </row>
    <row r="47" spans="2:3" x14ac:dyDescent="0.2">
      <c r="B47" s="8" t="s">
        <v>27</v>
      </c>
      <c r="C47" s="8" t="s">
        <v>13</v>
      </c>
    </row>
    <row r="48" spans="2:3" x14ac:dyDescent="0.2">
      <c r="B48" s="8" t="s">
        <v>27</v>
      </c>
      <c r="C48" s="8" t="s">
        <v>13</v>
      </c>
    </row>
    <row r="49" spans="2:3" x14ac:dyDescent="0.2">
      <c r="B49" s="8" t="s">
        <v>25</v>
      </c>
      <c r="C49" s="8" t="s">
        <v>14</v>
      </c>
    </row>
    <row r="50" spans="2:3" x14ac:dyDescent="0.2">
      <c r="B50" s="8" t="s">
        <v>25</v>
      </c>
      <c r="C50" s="8" t="s">
        <v>13</v>
      </c>
    </row>
    <row r="51" spans="2:3" x14ac:dyDescent="0.2">
      <c r="B51" s="8" t="s">
        <v>27</v>
      </c>
      <c r="C51" s="8" t="s">
        <v>14</v>
      </c>
    </row>
    <row r="52" spans="2:3" x14ac:dyDescent="0.2">
      <c r="B52" s="8" t="s">
        <v>25</v>
      </c>
      <c r="C52" s="8" t="s">
        <v>13</v>
      </c>
    </row>
    <row r="53" spans="2:3" x14ac:dyDescent="0.2">
      <c r="B53" s="8" t="s">
        <v>25</v>
      </c>
      <c r="C53" s="8" t="s">
        <v>14</v>
      </c>
    </row>
    <row r="54" spans="2:3" x14ac:dyDescent="0.2">
      <c r="B54" s="8" t="s">
        <v>25</v>
      </c>
      <c r="C54" s="8" t="s">
        <v>13</v>
      </c>
    </row>
    <row r="55" spans="2:3" x14ac:dyDescent="0.2">
      <c r="B55" s="8" t="s">
        <v>25</v>
      </c>
      <c r="C55" s="8" t="s">
        <v>13</v>
      </c>
    </row>
    <row r="56" spans="2:3" x14ac:dyDescent="0.2">
      <c r="B56" s="8" t="s">
        <v>27</v>
      </c>
      <c r="C56" s="8" t="s">
        <v>13</v>
      </c>
    </row>
    <row r="57" spans="2:3" x14ac:dyDescent="0.2">
      <c r="B57" s="8" t="s">
        <v>25</v>
      </c>
      <c r="C57" s="8" t="s">
        <v>14</v>
      </c>
    </row>
    <row r="58" spans="2:3" x14ac:dyDescent="0.2">
      <c r="B58" s="8" t="s">
        <v>27</v>
      </c>
      <c r="C58" s="8" t="s">
        <v>13</v>
      </c>
    </row>
    <row r="59" spans="2:3" x14ac:dyDescent="0.2">
      <c r="B59" s="8" t="s">
        <v>27</v>
      </c>
      <c r="C59" s="8" t="s">
        <v>13</v>
      </c>
    </row>
    <row r="60" spans="2:3" x14ac:dyDescent="0.2">
      <c r="B60" s="8" t="s">
        <v>27</v>
      </c>
      <c r="C60" s="8" t="s">
        <v>13</v>
      </c>
    </row>
    <row r="61" spans="2:3" x14ac:dyDescent="0.2">
      <c r="B61" s="8" t="s">
        <v>25</v>
      </c>
      <c r="C61" s="8" t="s">
        <v>13</v>
      </c>
    </row>
    <row r="62" spans="2:3" x14ac:dyDescent="0.2">
      <c r="B62" s="8" t="s">
        <v>27</v>
      </c>
      <c r="C62" s="8" t="s">
        <v>13</v>
      </c>
    </row>
    <row r="63" spans="2:3" x14ac:dyDescent="0.2">
      <c r="B63" s="8" t="s">
        <v>27</v>
      </c>
      <c r="C63" s="8" t="s">
        <v>13</v>
      </c>
    </row>
    <row r="64" spans="2:3" x14ac:dyDescent="0.2">
      <c r="B64" s="8" t="s">
        <v>27</v>
      </c>
      <c r="C64" s="8" t="s">
        <v>13</v>
      </c>
    </row>
    <row r="65" spans="2:3" x14ac:dyDescent="0.2">
      <c r="B65" s="8" t="s">
        <v>25</v>
      </c>
      <c r="C65" s="8" t="s">
        <v>13</v>
      </c>
    </row>
    <row r="66" spans="2:3" x14ac:dyDescent="0.2">
      <c r="B66" s="8" t="s">
        <v>25</v>
      </c>
      <c r="C66" s="8" t="s">
        <v>13</v>
      </c>
    </row>
    <row r="67" spans="2:3" x14ac:dyDescent="0.2">
      <c r="B67" s="8" t="s">
        <v>25</v>
      </c>
      <c r="C67" s="8" t="s">
        <v>14</v>
      </c>
    </row>
    <row r="68" spans="2:3" x14ac:dyDescent="0.2">
      <c r="B68" s="8" t="s">
        <v>25</v>
      </c>
      <c r="C68" s="8" t="s">
        <v>13</v>
      </c>
    </row>
    <row r="69" spans="2:3" x14ac:dyDescent="0.2">
      <c r="B69" s="8" t="s">
        <v>25</v>
      </c>
      <c r="C69" s="8" t="s">
        <v>13</v>
      </c>
    </row>
    <row r="70" spans="2:3" x14ac:dyDescent="0.2">
      <c r="B70" s="8" t="s">
        <v>27</v>
      </c>
      <c r="C70" s="8" t="s">
        <v>14</v>
      </c>
    </row>
    <row r="71" spans="2:3" x14ac:dyDescent="0.2">
      <c r="B71" s="8" t="s">
        <v>27</v>
      </c>
      <c r="C71" s="8" t="s">
        <v>14</v>
      </c>
    </row>
    <row r="72" spans="2:3" x14ac:dyDescent="0.2">
      <c r="B72" s="8" t="s">
        <v>27</v>
      </c>
      <c r="C72" s="8" t="s">
        <v>13</v>
      </c>
    </row>
    <row r="73" spans="2:3" x14ac:dyDescent="0.2">
      <c r="B73" s="8" t="s">
        <v>25</v>
      </c>
      <c r="C73" s="8" t="s">
        <v>14</v>
      </c>
    </row>
    <row r="74" spans="2:3" x14ac:dyDescent="0.2">
      <c r="B74" s="8" t="s">
        <v>27</v>
      </c>
      <c r="C74" s="8" t="s">
        <v>13</v>
      </c>
    </row>
    <row r="75" spans="2:3" x14ac:dyDescent="0.2">
      <c r="B75" s="8" t="s">
        <v>25</v>
      </c>
      <c r="C75" s="8" t="s">
        <v>14</v>
      </c>
    </row>
    <row r="76" spans="2:3" x14ac:dyDescent="0.2">
      <c r="B76" s="8" t="s">
        <v>27</v>
      </c>
      <c r="C76" s="8" t="s">
        <v>13</v>
      </c>
    </row>
    <row r="77" spans="2:3" x14ac:dyDescent="0.2">
      <c r="B77" s="8" t="s">
        <v>27</v>
      </c>
      <c r="C77" s="8" t="s">
        <v>14</v>
      </c>
    </row>
    <row r="78" spans="2:3" x14ac:dyDescent="0.2">
      <c r="B78" s="8" t="s">
        <v>25</v>
      </c>
      <c r="C78" s="8" t="s">
        <v>14</v>
      </c>
    </row>
    <row r="79" spans="2:3" x14ac:dyDescent="0.2">
      <c r="B79" s="8" t="s">
        <v>25</v>
      </c>
      <c r="C79" s="8" t="s">
        <v>14</v>
      </c>
    </row>
    <row r="80" spans="2:3" x14ac:dyDescent="0.2">
      <c r="B80" s="8" t="s">
        <v>25</v>
      </c>
      <c r="C80" s="8" t="s">
        <v>13</v>
      </c>
    </row>
    <row r="81" spans="2:3" x14ac:dyDescent="0.2">
      <c r="B81" s="8" t="s">
        <v>25</v>
      </c>
      <c r="C81" s="8" t="s">
        <v>14</v>
      </c>
    </row>
    <row r="82" spans="2:3" x14ac:dyDescent="0.2">
      <c r="B82" s="8" t="s">
        <v>25</v>
      </c>
      <c r="C82" s="8" t="s">
        <v>14</v>
      </c>
    </row>
    <row r="83" spans="2:3" x14ac:dyDescent="0.2">
      <c r="B83" s="8" t="s">
        <v>25</v>
      </c>
      <c r="C83" s="8" t="s">
        <v>13</v>
      </c>
    </row>
    <row r="84" spans="2:3" x14ac:dyDescent="0.2">
      <c r="B84" s="8" t="s">
        <v>25</v>
      </c>
      <c r="C84" s="8" t="s">
        <v>13</v>
      </c>
    </row>
    <row r="85" spans="2:3" x14ac:dyDescent="0.2">
      <c r="B85" s="8" t="s">
        <v>25</v>
      </c>
      <c r="C85" s="8" t="s">
        <v>14</v>
      </c>
    </row>
    <row r="86" spans="2:3" x14ac:dyDescent="0.2">
      <c r="B86" s="8" t="s">
        <v>25</v>
      </c>
      <c r="C86" s="8" t="s">
        <v>14</v>
      </c>
    </row>
    <row r="87" spans="2:3" x14ac:dyDescent="0.2">
      <c r="B87" s="8" t="s">
        <v>25</v>
      </c>
      <c r="C87" s="8" t="s">
        <v>13</v>
      </c>
    </row>
    <row r="88" spans="2:3" x14ac:dyDescent="0.2">
      <c r="B88" s="8" t="s">
        <v>25</v>
      </c>
      <c r="C88" s="8" t="s">
        <v>14</v>
      </c>
    </row>
    <row r="89" spans="2:3" x14ac:dyDescent="0.2">
      <c r="B89" s="8" t="s">
        <v>25</v>
      </c>
      <c r="C89" s="8" t="s">
        <v>13</v>
      </c>
    </row>
    <row r="90" spans="2:3" x14ac:dyDescent="0.2">
      <c r="B90" s="8" t="s">
        <v>27</v>
      </c>
      <c r="C90" s="8" t="s">
        <v>13</v>
      </c>
    </row>
    <row r="91" spans="2:3" x14ac:dyDescent="0.2">
      <c r="B91" s="8" t="s">
        <v>27</v>
      </c>
      <c r="C91" s="8" t="s">
        <v>13</v>
      </c>
    </row>
    <row r="92" spans="2:3" x14ac:dyDescent="0.2">
      <c r="B92" s="8" t="s">
        <v>25</v>
      </c>
      <c r="C92" s="8" t="s">
        <v>13</v>
      </c>
    </row>
    <row r="93" spans="2:3" x14ac:dyDescent="0.2">
      <c r="B93" s="8" t="s">
        <v>25</v>
      </c>
      <c r="C93" s="8" t="s">
        <v>14</v>
      </c>
    </row>
    <row r="94" spans="2:3" x14ac:dyDescent="0.2">
      <c r="B94" s="8" t="s">
        <v>25</v>
      </c>
      <c r="C94" s="8" t="s">
        <v>13</v>
      </c>
    </row>
    <row r="95" spans="2:3" x14ac:dyDescent="0.2">
      <c r="B95" s="8" t="s">
        <v>25</v>
      </c>
      <c r="C95" s="8" t="s">
        <v>14</v>
      </c>
    </row>
    <row r="96" spans="2:3" x14ac:dyDescent="0.2">
      <c r="B96" s="8" t="s">
        <v>25</v>
      </c>
      <c r="C96" s="8" t="s">
        <v>13</v>
      </c>
    </row>
    <row r="97" spans="2:3" x14ac:dyDescent="0.2">
      <c r="B97" s="8" t="s">
        <v>25</v>
      </c>
      <c r="C97" s="8" t="s">
        <v>13</v>
      </c>
    </row>
    <row r="98" spans="2:3" x14ac:dyDescent="0.2">
      <c r="B98" s="8" t="s">
        <v>25</v>
      </c>
      <c r="C98" s="8" t="s">
        <v>14</v>
      </c>
    </row>
    <row r="99" spans="2:3" x14ac:dyDescent="0.2">
      <c r="B99" s="8" t="s">
        <v>25</v>
      </c>
      <c r="C99" s="8" t="s">
        <v>13</v>
      </c>
    </row>
    <row r="100" spans="2:3" x14ac:dyDescent="0.2">
      <c r="B100" s="8" t="s">
        <v>25</v>
      </c>
      <c r="C100" s="8" t="s">
        <v>14</v>
      </c>
    </row>
  </sheetData>
  <mergeCells count="5">
    <mergeCell ref="E5:G5"/>
    <mergeCell ref="I5:J5"/>
    <mergeCell ref="L5:M5"/>
    <mergeCell ref="O5:P5"/>
    <mergeCell ref="E11:G11"/>
  </mergeCells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FE86B-B6DE-4084-845C-C08C2DC65651}">
  <sheetPr codeName="Sheet38">
    <tabColor theme="7" tint="0.79998168889431442"/>
  </sheetPr>
  <dimension ref="B1:G100"/>
  <sheetViews>
    <sheetView showGridLines="0" tabSelected="1" workbookViewId="0">
      <selection activeCell="B5" sqref="B5"/>
    </sheetView>
  </sheetViews>
  <sheetFormatPr baseColWidth="10" defaultColWidth="8.83203125" defaultRowHeight="15" x14ac:dyDescent="0.2"/>
  <cols>
    <col min="1" max="1" width="2.83203125" customWidth="1"/>
    <col min="2" max="2" width="19.33203125" bestFit="1" customWidth="1"/>
    <col min="4" max="4" width="6.5" customWidth="1"/>
    <col min="5" max="6" width="2.83203125" customWidth="1"/>
    <col min="7" max="7" width="9.1640625" customWidth="1"/>
  </cols>
  <sheetData>
    <row r="1" spans="2:7" ht="25.5" customHeight="1" x14ac:dyDescent="0.25">
      <c r="B1" s="18" t="s">
        <v>205</v>
      </c>
    </row>
    <row r="2" spans="2:7" ht="15" customHeight="1" x14ac:dyDescent="0.2">
      <c r="B2" s="30" t="s">
        <v>191</v>
      </c>
    </row>
    <row r="3" spans="2:7" ht="18" customHeight="1" x14ac:dyDescent="0.2"/>
    <row r="4" spans="2:7" x14ac:dyDescent="0.2">
      <c r="D4" s="3"/>
    </row>
    <row r="5" spans="2:7" x14ac:dyDescent="0.2">
      <c r="B5" s="7" t="s">
        <v>23</v>
      </c>
      <c r="D5" s="117" t="s">
        <v>199</v>
      </c>
      <c r="E5" s="117"/>
      <c r="F5" s="117"/>
      <c r="G5" s="117"/>
    </row>
    <row r="6" spans="2:7" x14ac:dyDescent="0.2">
      <c r="B6" s="8">
        <v>276</v>
      </c>
      <c r="D6" s="20" t="s">
        <v>195</v>
      </c>
      <c r="E6" s="105" t="s">
        <v>340</v>
      </c>
      <c r="F6" s="89" t="s">
        <v>198</v>
      </c>
      <c r="G6" s="90">
        <v>300</v>
      </c>
    </row>
    <row r="7" spans="2:7" x14ac:dyDescent="0.2">
      <c r="B7" s="8">
        <v>410</v>
      </c>
      <c r="D7" s="20" t="s">
        <v>196</v>
      </c>
      <c r="E7" s="89" t="s">
        <v>340</v>
      </c>
      <c r="F7" s="105" t="s">
        <v>200</v>
      </c>
      <c r="G7" s="90">
        <v>300</v>
      </c>
    </row>
    <row r="8" spans="2:7" x14ac:dyDescent="0.2">
      <c r="B8" s="8">
        <v>119</v>
      </c>
      <c r="D8" s="20"/>
      <c r="E8" s="36"/>
      <c r="F8" s="36"/>
      <c r="G8" s="36"/>
    </row>
    <row r="9" spans="2:7" x14ac:dyDescent="0.2">
      <c r="B9" s="8">
        <v>334</v>
      </c>
      <c r="D9" s="20"/>
      <c r="E9" s="37"/>
      <c r="F9" s="37"/>
      <c r="G9" s="37"/>
    </row>
    <row r="10" spans="2:7" x14ac:dyDescent="0.2">
      <c r="B10" s="8">
        <v>252</v>
      </c>
      <c r="D10" s="20"/>
      <c r="E10" s="22"/>
      <c r="F10" s="22"/>
      <c r="G10" s="22"/>
    </row>
    <row r="11" spans="2:7" x14ac:dyDescent="0.2">
      <c r="B11" s="8">
        <v>209</v>
      </c>
      <c r="D11" s="20"/>
      <c r="E11" s="22"/>
      <c r="F11" s="22"/>
      <c r="G11" s="22"/>
    </row>
    <row r="12" spans="2:7" x14ac:dyDescent="0.2">
      <c r="B12" s="8">
        <v>462</v>
      </c>
    </row>
    <row r="13" spans="2:7" x14ac:dyDescent="0.2">
      <c r="B13" s="8">
        <v>342</v>
      </c>
    </row>
    <row r="14" spans="2:7" x14ac:dyDescent="0.2">
      <c r="B14" s="8">
        <v>347</v>
      </c>
    </row>
    <row r="15" spans="2:7" x14ac:dyDescent="0.2">
      <c r="B15" s="8">
        <v>313</v>
      </c>
    </row>
    <row r="16" spans="2:7" x14ac:dyDescent="0.2">
      <c r="B16" s="8">
        <v>232</v>
      </c>
    </row>
    <row r="17" spans="2:2" x14ac:dyDescent="0.2">
      <c r="B17" s="8">
        <v>163</v>
      </c>
    </row>
    <row r="18" spans="2:2" x14ac:dyDescent="0.2">
      <c r="B18" s="8">
        <v>119</v>
      </c>
    </row>
    <row r="19" spans="2:2" x14ac:dyDescent="0.2">
      <c r="B19" s="8">
        <v>304</v>
      </c>
    </row>
    <row r="20" spans="2:2" x14ac:dyDescent="0.2">
      <c r="B20" s="8">
        <v>211</v>
      </c>
    </row>
    <row r="21" spans="2:2" x14ac:dyDescent="0.2">
      <c r="B21" s="8">
        <v>286</v>
      </c>
    </row>
    <row r="22" spans="2:2" x14ac:dyDescent="0.2">
      <c r="B22" s="8">
        <v>122</v>
      </c>
    </row>
    <row r="23" spans="2:2" x14ac:dyDescent="0.2">
      <c r="B23" s="8">
        <v>443</v>
      </c>
    </row>
    <row r="24" spans="2:2" x14ac:dyDescent="0.2">
      <c r="B24" s="8">
        <v>366</v>
      </c>
    </row>
    <row r="25" spans="2:2" x14ac:dyDescent="0.2">
      <c r="B25" s="8">
        <v>244</v>
      </c>
    </row>
    <row r="26" spans="2:2" x14ac:dyDescent="0.2">
      <c r="B26" s="8">
        <v>241</v>
      </c>
    </row>
    <row r="27" spans="2:2" x14ac:dyDescent="0.2">
      <c r="B27" s="8">
        <v>237</v>
      </c>
    </row>
    <row r="28" spans="2:2" x14ac:dyDescent="0.2">
      <c r="B28" s="8">
        <v>122</v>
      </c>
    </row>
    <row r="29" spans="2:2" x14ac:dyDescent="0.2">
      <c r="B29" s="8">
        <v>129</v>
      </c>
    </row>
    <row r="30" spans="2:2" x14ac:dyDescent="0.2">
      <c r="B30" s="8">
        <v>236</v>
      </c>
    </row>
    <row r="31" spans="2:2" x14ac:dyDescent="0.2">
      <c r="B31" s="8">
        <v>251</v>
      </c>
    </row>
    <row r="32" spans="2:2" x14ac:dyDescent="0.2">
      <c r="B32" s="8">
        <v>283</v>
      </c>
    </row>
    <row r="33" spans="2:2" x14ac:dyDescent="0.2">
      <c r="B33" s="8">
        <v>225</v>
      </c>
    </row>
    <row r="34" spans="2:2" x14ac:dyDescent="0.2">
      <c r="B34" s="8">
        <v>102</v>
      </c>
    </row>
    <row r="35" spans="2:2" x14ac:dyDescent="0.2">
      <c r="B35" s="8">
        <v>180</v>
      </c>
    </row>
    <row r="36" spans="2:2" x14ac:dyDescent="0.2">
      <c r="B36" s="8">
        <v>247</v>
      </c>
    </row>
    <row r="37" spans="2:2" x14ac:dyDescent="0.2">
      <c r="B37" s="8">
        <v>343</v>
      </c>
    </row>
    <row r="38" spans="2:2" x14ac:dyDescent="0.2">
      <c r="B38" s="8">
        <v>283</v>
      </c>
    </row>
    <row r="39" spans="2:2" x14ac:dyDescent="0.2">
      <c r="B39" s="8">
        <v>253</v>
      </c>
    </row>
    <row r="40" spans="2:2" x14ac:dyDescent="0.2">
      <c r="B40" s="8">
        <v>263</v>
      </c>
    </row>
    <row r="41" spans="2:2" x14ac:dyDescent="0.2">
      <c r="B41" s="8">
        <v>291</v>
      </c>
    </row>
    <row r="42" spans="2:2" x14ac:dyDescent="0.2">
      <c r="B42" s="8">
        <v>368</v>
      </c>
    </row>
    <row r="43" spans="2:2" x14ac:dyDescent="0.2">
      <c r="B43" s="8">
        <v>206</v>
      </c>
    </row>
    <row r="44" spans="2:2" x14ac:dyDescent="0.2">
      <c r="B44" s="8">
        <v>231</v>
      </c>
    </row>
    <row r="45" spans="2:2" x14ac:dyDescent="0.2">
      <c r="B45" s="8">
        <v>389</v>
      </c>
    </row>
    <row r="46" spans="2:2" x14ac:dyDescent="0.2">
      <c r="B46" s="8">
        <v>396</v>
      </c>
    </row>
    <row r="47" spans="2:2" x14ac:dyDescent="0.2">
      <c r="B47" s="8">
        <v>339</v>
      </c>
    </row>
    <row r="48" spans="2:2" x14ac:dyDescent="0.2">
      <c r="B48" s="8">
        <v>286</v>
      </c>
    </row>
    <row r="49" spans="2:2" x14ac:dyDescent="0.2">
      <c r="B49" s="8">
        <v>146</v>
      </c>
    </row>
    <row r="50" spans="2:2" x14ac:dyDescent="0.2">
      <c r="B50" s="8">
        <v>315</v>
      </c>
    </row>
    <row r="51" spans="2:2" x14ac:dyDescent="0.2">
      <c r="B51" s="8">
        <v>183</v>
      </c>
    </row>
    <row r="52" spans="2:2" x14ac:dyDescent="0.2">
      <c r="B52" s="8">
        <v>481</v>
      </c>
    </row>
    <row r="53" spans="2:2" x14ac:dyDescent="0.2">
      <c r="B53" s="8">
        <v>349</v>
      </c>
    </row>
    <row r="54" spans="2:2" x14ac:dyDescent="0.2">
      <c r="B54" s="8">
        <v>225</v>
      </c>
    </row>
    <row r="55" spans="2:2" x14ac:dyDescent="0.2">
      <c r="B55" s="8">
        <v>217</v>
      </c>
    </row>
    <row r="56" spans="2:2" x14ac:dyDescent="0.2">
      <c r="B56" s="8">
        <v>353</v>
      </c>
    </row>
    <row r="57" spans="2:2" x14ac:dyDescent="0.2">
      <c r="B57" s="8">
        <v>314</v>
      </c>
    </row>
    <row r="58" spans="2:2" x14ac:dyDescent="0.2">
      <c r="B58" s="8">
        <v>247</v>
      </c>
    </row>
    <row r="59" spans="2:2" x14ac:dyDescent="0.2">
      <c r="B59" s="8">
        <v>410</v>
      </c>
    </row>
    <row r="60" spans="2:2" x14ac:dyDescent="0.2">
      <c r="B60" s="8">
        <v>395</v>
      </c>
    </row>
    <row r="61" spans="2:2" x14ac:dyDescent="0.2">
      <c r="B61" s="8">
        <v>416</v>
      </c>
    </row>
    <row r="62" spans="2:2" x14ac:dyDescent="0.2">
      <c r="B62" s="8">
        <v>342</v>
      </c>
    </row>
    <row r="63" spans="2:2" x14ac:dyDescent="0.2">
      <c r="B63" s="8">
        <v>446</v>
      </c>
    </row>
    <row r="64" spans="2:2" x14ac:dyDescent="0.2">
      <c r="B64" s="8">
        <v>477</v>
      </c>
    </row>
    <row r="65" spans="2:2" x14ac:dyDescent="0.2">
      <c r="B65" s="8">
        <v>444</v>
      </c>
    </row>
    <row r="66" spans="2:2" x14ac:dyDescent="0.2">
      <c r="B66" s="8">
        <v>351</v>
      </c>
    </row>
    <row r="67" spans="2:2" x14ac:dyDescent="0.2">
      <c r="B67" s="8">
        <v>165</v>
      </c>
    </row>
    <row r="68" spans="2:2" x14ac:dyDescent="0.2">
      <c r="B68" s="8">
        <v>317</v>
      </c>
    </row>
    <row r="69" spans="2:2" x14ac:dyDescent="0.2">
      <c r="B69" s="8">
        <v>250</v>
      </c>
    </row>
    <row r="70" spans="2:2" x14ac:dyDescent="0.2">
      <c r="B70" s="8">
        <v>217</v>
      </c>
    </row>
    <row r="71" spans="2:2" x14ac:dyDescent="0.2">
      <c r="B71" s="8">
        <v>138</v>
      </c>
    </row>
    <row r="72" spans="2:2" x14ac:dyDescent="0.2">
      <c r="B72" s="8">
        <v>302</v>
      </c>
    </row>
    <row r="73" spans="2:2" x14ac:dyDescent="0.2">
      <c r="B73" s="8">
        <v>311</v>
      </c>
    </row>
    <row r="74" spans="2:2" x14ac:dyDescent="0.2">
      <c r="B74" s="8">
        <v>373</v>
      </c>
    </row>
    <row r="75" spans="2:2" x14ac:dyDescent="0.2">
      <c r="B75" s="8">
        <v>196</v>
      </c>
    </row>
    <row r="76" spans="2:2" x14ac:dyDescent="0.2">
      <c r="B76" s="8">
        <v>306</v>
      </c>
    </row>
    <row r="77" spans="2:2" x14ac:dyDescent="0.2">
      <c r="B77" s="8">
        <v>302</v>
      </c>
    </row>
    <row r="78" spans="2:2" x14ac:dyDescent="0.2">
      <c r="B78" s="8">
        <v>278</v>
      </c>
    </row>
    <row r="79" spans="2:2" x14ac:dyDescent="0.2">
      <c r="B79" s="8">
        <v>429</v>
      </c>
    </row>
    <row r="80" spans="2:2" x14ac:dyDescent="0.2">
      <c r="B80" s="8">
        <v>338</v>
      </c>
    </row>
    <row r="81" spans="2:2" x14ac:dyDescent="0.2">
      <c r="B81" s="8">
        <v>261</v>
      </c>
    </row>
    <row r="82" spans="2:2" x14ac:dyDescent="0.2">
      <c r="B82" s="8">
        <v>256</v>
      </c>
    </row>
    <row r="83" spans="2:2" x14ac:dyDescent="0.2">
      <c r="B83" s="8">
        <v>183</v>
      </c>
    </row>
    <row r="84" spans="2:2" x14ac:dyDescent="0.2">
      <c r="B84" s="8">
        <v>274</v>
      </c>
    </row>
    <row r="85" spans="2:2" x14ac:dyDescent="0.2">
      <c r="B85" s="8">
        <v>182</v>
      </c>
    </row>
    <row r="86" spans="2:2" x14ac:dyDescent="0.2">
      <c r="B86" s="8">
        <v>183</v>
      </c>
    </row>
    <row r="87" spans="2:2" x14ac:dyDescent="0.2">
      <c r="B87" s="8">
        <v>309</v>
      </c>
    </row>
    <row r="88" spans="2:2" x14ac:dyDescent="0.2">
      <c r="B88" s="8">
        <v>178</v>
      </c>
    </row>
    <row r="89" spans="2:2" x14ac:dyDescent="0.2">
      <c r="B89" s="8">
        <v>458</v>
      </c>
    </row>
    <row r="90" spans="2:2" x14ac:dyDescent="0.2">
      <c r="B90" s="8">
        <v>234</v>
      </c>
    </row>
    <row r="91" spans="2:2" x14ac:dyDescent="0.2">
      <c r="B91" s="8">
        <v>306</v>
      </c>
    </row>
    <row r="92" spans="2:2" x14ac:dyDescent="0.2">
      <c r="B92" s="8">
        <v>400</v>
      </c>
    </row>
    <row r="93" spans="2:2" x14ac:dyDescent="0.2">
      <c r="B93" s="8">
        <v>337</v>
      </c>
    </row>
    <row r="94" spans="2:2" x14ac:dyDescent="0.2">
      <c r="B94" s="8">
        <v>325</v>
      </c>
    </row>
    <row r="95" spans="2:2" x14ac:dyDescent="0.2">
      <c r="B95" s="8">
        <v>329</v>
      </c>
    </row>
    <row r="96" spans="2:2" x14ac:dyDescent="0.2">
      <c r="B96" s="8">
        <v>369</v>
      </c>
    </row>
    <row r="97" spans="2:2" x14ac:dyDescent="0.2">
      <c r="B97" s="8">
        <v>457</v>
      </c>
    </row>
    <row r="98" spans="2:2" x14ac:dyDescent="0.2">
      <c r="B98" s="8">
        <v>421</v>
      </c>
    </row>
    <row r="99" spans="2:2" x14ac:dyDescent="0.2">
      <c r="B99" s="8">
        <v>282</v>
      </c>
    </row>
    <row r="100" spans="2:2" x14ac:dyDescent="0.2">
      <c r="B100" s="8">
        <v>256</v>
      </c>
    </row>
  </sheetData>
  <mergeCells count="1">
    <mergeCell ref="D5:G5"/>
  </mergeCells>
  <pageMargins left="0.7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1B7B0-2442-423A-AD5C-57F7FB22269B}">
  <sheetPr codeName="Sheet39">
    <tabColor theme="7" tint="0.79998168889431442"/>
  </sheetPr>
  <dimension ref="B1:J100"/>
  <sheetViews>
    <sheetView showGridLines="0" workbookViewId="0">
      <selection activeCell="B5" sqref="B5"/>
    </sheetView>
  </sheetViews>
  <sheetFormatPr baseColWidth="10" defaultColWidth="8.83203125" defaultRowHeight="15" x14ac:dyDescent="0.2"/>
  <cols>
    <col min="1" max="1" width="2.83203125" customWidth="1"/>
    <col min="2" max="2" width="19.33203125" bestFit="1" customWidth="1"/>
    <col min="4" max="4" width="6.5" customWidth="1"/>
    <col min="5" max="6" width="2.83203125" customWidth="1"/>
    <col min="7" max="7" width="9.1640625" customWidth="1"/>
    <col min="9" max="9" width="11.5" customWidth="1"/>
  </cols>
  <sheetData>
    <row r="1" spans="2:10" ht="25.5" customHeight="1" x14ac:dyDescent="0.25">
      <c r="B1" s="18" t="s">
        <v>205</v>
      </c>
    </row>
    <row r="2" spans="2:10" ht="15" customHeight="1" x14ac:dyDescent="0.2">
      <c r="B2" s="30" t="s">
        <v>192</v>
      </c>
    </row>
    <row r="3" spans="2:10" ht="18" customHeight="1" x14ac:dyDescent="0.2"/>
    <row r="4" spans="2:10" x14ac:dyDescent="0.2">
      <c r="D4" s="3"/>
    </row>
    <row r="5" spans="2:10" x14ac:dyDescent="0.2">
      <c r="B5" s="7" t="s">
        <v>23</v>
      </c>
      <c r="D5" s="117" t="s">
        <v>199</v>
      </c>
      <c r="E5" s="117"/>
      <c r="F5" s="117"/>
      <c r="G5" s="117"/>
      <c r="I5" s="117" t="s">
        <v>201</v>
      </c>
      <c r="J5" s="117"/>
    </row>
    <row r="6" spans="2:10" x14ac:dyDescent="0.2">
      <c r="B6" s="8">
        <v>276</v>
      </c>
      <c r="D6" s="20" t="s">
        <v>195</v>
      </c>
      <c r="E6" s="89" t="s">
        <v>197</v>
      </c>
      <c r="F6" s="89" t="s">
        <v>198</v>
      </c>
      <c r="G6" s="90">
        <v>300</v>
      </c>
      <c r="I6" s="20" t="s">
        <v>143</v>
      </c>
      <c r="J6" s="71">
        <v>0.1</v>
      </c>
    </row>
    <row r="7" spans="2:10" x14ac:dyDescent="0.2">
      <c r="B7" s="8">
        <v>410</v>
      </c>
      <c r="D7" s="20" t="s">
        <v>196</v>
      </c>
      <c r="E7" s="89" t="s">
        <v>197</v>
      </c>
      <c r="F7" s="89" t="s">
        <v>200</v>
      </c>
      <c r="G7" s="90">
        <v>300</v>
      </c>
      <c r="I7" s="20"/>
      <c r="J7" s="1"/>
    </row>
    <row r="8" spans="2:10" x14ac:dyDescent="0.2">
      <c r="B8" s="8">
        <v>119</v>
      </c>
      <c r="D8" s="20"/>
      <c r="E8" s="36"/>
      <c r="F8" s="36"/>
      <c r="G8" s="36"/>
    </row>
    <row r="9" spans="2:10" x14ac:dyDescent="0.2">
      <c r="B9" s="8">
        <v>334</v>
      </c>
      <c r="D9" s="20"/>
      <c r="E9" s="37"/>
      <c r="F9" s="37"/>
      <c r="G9" s="37"/>
    </row>
    <row r="10" spans="2:10" x14ac:dyDescent="0.2">
      <c r="B10" s="8">
        <v>252</v>
      </c>
      <c r="D10" s="20"/>
      <c r="E10" s="22"/>
      <c r="F10" s="22"/>
      <c r="G10" s="22"/>
    </row>
    <row r="11" spans="2:10" x14ac:dyDescent="0.2">
      <c r="B11" s="8">
        <v>209</v>
      </c>
      <c r="D11" s="20"/>
      <c r="E11" s="22"/>
      <c r="F11" s="22"/>
      <c r="G11" s="22"/>
    </row>
    <row r="12" spans="2:10" x14ac:dyDescent="0.2">
      <c r="B12" s="8">
        <v>462</v>
      </c>
    </row>
    <row r="13" spans="2:10" x14ac:dyDescent="0.2">
      <c r="B13" s="8">
        <v>342</v>
      </c>
    </row>
    <row r="14" spans="2:10" x14ac:dyDescent="0.2">
      <c r="B14" s="8">
        <v>347</v>
      </c>
    </row>
    <row r="15" spans="2:10" x14ac:dyDescent="0.2">
      <c r="B15" s="8">
        <v>313</v>
      </c>
    </row>
    <row r="16" spans="2:10" x14ac:dyDescent="0.2">
      <c r="B16" s="8">
        <v>232</v>
      </c>
    </row>
    <row r="17" spans="2:2" x14ac:dyDescent="0.2">
      <c r="B17" s="8">
        <v>163</v>
      </c>
    </row>
    <row r="18" spans="2:2" x14ac:dyDescent="0.2">
      <c r="B18" s="8">
        <v>119</v>
      </c>
    </row>
    <row r="19" spans="2:2" x14ac:dyDescent="0.2">
      <c r="B19" s="8">
        <v>304</v>
      </c>
    </row>
    <row r="20" spans="2:2" x14ac:dyDescent="0.2">
      <c r="B20" s="8">
        <v>211</v>
      </c>
    </row>
    <row r="21" spans="2:2" x14ac:dyDescent="0.2">
      <c r="B21" s="8">
        <v>286</v>
      </c>
    </row>
    <row r="22" spans="2:2" x14ac:dyDescent="0.2">
      <c r="B22" s="8">
        <v>122</v>
      </c>
    </row>
    <row r="23" spans="2:2" x14ac:dyDescent="0.2">
      <c r="B23" s="8">
        <v>443</v>
      </c>
    </row>
    <row r="24" spans="2:2" x14ac:dyDescent="0.2">
      <c r="B24" s="8">
        <v>366</v>
      </c>
    </row>
    <row r="25" spans="2:2" x14ac:dyDescent="0.2">
      <c r="B25" s="8">
        <v>244</v>
      </c>
    </row>
    <row r="26" spans="2:2" x14ac:dyDescent="0.2">
      <c r="B26" s="8">
        <v>241</v>
      </c>
    </row>
    <row r="27" spans="2:2" x14ac:dyDescent="0.2">
      <c r="B27" s="8">
        <v>237</v>
      </c>
    </row>
    <row r="28" spans="2:2" x14ac:dyDescent="0.2">
      <c r="B28" s="8">
        <v>122</v>
      </c>
    </row>
    <row r="29" spans="2:2" x14ac:dyDescent="0.2">
      <c r="B29" s="8">
        <v>129</v>
      </c>
    </row>
    <row r="30" spans="2:2" x14ac:dyDescent="0.2">
      <c r="B30" s="8">
        <v>236</v>
      </c>
    </row>
    <row r="31" spans="2:2" x14ac:dyDescent="0.2">
      <c r="B31" s="8">
        <v>251</v>
      </c>
    </row>
    <row r="32" spans="2:2" x14ac:dyDescent="0.2">
      <c r="B32" s="8">
        <v>283</v>
      </c>
    </row>
    <row r="33" spans="2:2" x14ac:dyDescent="0.2">
      <c r="B33" s="8">
        <v>225</v>
      </c>
    </row>
    <row r="34" spans="2:2" x14ac:dyDescent="0.2">
      <c r="B34" s="8">
        <v>102</v>
      </c>
    </row>
    <row r="35" spans="2:2" x14ac:dyDescent="0.2">
      <c r="B35" s="8">
        <v>180</v>
      </c>
    </row>
    <row r="36" spans="2:2" x14ac:dyDescent="0.2">
      <c r="B36" s="8">
        <v>247</v>
      </c>
    </row>
    <row r="37" spans="2:2" x14ac:dyDescent="0.2">
      <c r="B37" s="8">
        <v>343</v>
      </c>
    </row>
    <row r="38" spans="2:2" x14ac:dyDescent="0.2">
      <c r="B38" s="8">
        <v>283</v>
      </c>
    </row>
    <row r="39" spans="2:2" x14ac:dyDescent="0.2">
      <c r="B39" s="8">
        <v>253</v>
      </c>
    </row>
    <row r="40" spans="2:2" x14ac:dyDescent="0.2">
      <c r="B40" s="8">
        <v>263</v>
      </c>
    </row>
    <row r="41" spans="2:2" x14ac:dyDescent="0.2">
      <c r="B41" s="8">
        <v>291</v>
      </c>
    </row>
    <row r="42" spans="2:2" x14ac:dyDescent="0.2">
      <c r="B42" s="8">
        <v>368</v>
      </c>
    </row>
    <row r="43" spans="2:2" x14ac:dyDescent="0.2">
      <c r="B43" s="8">
        <v>206</v>
      </c>
    </row>
    <row r="44" spans="2:2" x14ac:dyDescent="0.2">
      <c r="B44" s="8">
        <v>231</v>
      </c>
    </row>
    <row r="45" spans="2:2" x14ac:dyDescent="0.2">
      <c r="B45" s="8">
        <v>389</v>
      </c>
    </row>
    <row r="46" spans="2:2" x14ac:dyDescent="0.2">
      <c r="B46" s="8">
        <v>396</v>
      </c>
    </row>
    <row r="47" spans="2:2" x14ac:dyDescent="0.2">
      <c r="B47" s="8">
        <v>339</v>
      </c>
    </row>
    <row r="48" spans="2:2" x14ac:dyDescent="0.2">
      <c r="B48" s="8">
        <v>286</v>
      </c>
    </row>
    <row r="49" spans="2:2" x14ac:dyDescent="0.2">
      <c r="B49" s="8">
        <v>146</v>
      </c>
    </row>
    <row r="50" spans="2:2" x14ac:dyDescent="0.2">
      <c r="B50" s="8">
        <v>315</v>
      </c>
    </row>
    <row r="51" spans="2:2" x14ac:dyDescent="0.2">
      <c r="B51" s="8">
        <v>183</v>
      </c>
    </row>
    <row r="52" spans="2:2" x14ac:dyDescent="0.2">
      <c r="B52" s="8">
        <v>481</v>
      </c>
    </row>
    <row r="53" spans="2:2" x14ac:dyDescent="0.2">
      <c r="B53" s="8">
        <v>349</v>
      </c>
    </row>
    <row r="54" spans="2:2" x14ac:dyDescent="0.2">
      <c r="B54" s="8">
        <v>225</v>
      </c>
    </row>
    <row r="55" spans="2:2" x14ac:dyDescent="0.2">
      <c r="B55" s="8">
        <v>217</v>
      </c>
    </row>
    <row r="56" spans="2:2" x14ac:dyDescent="0.2">
      <c r="B56" s="8">
        <v>353</v>
      </c>
    </row>
    <row r="57" spans="2:2" x14ac:dyDescent="0.2">
      <c r="B57" s="8">
        <v>314</v>
      </c>
    </row>
    <row r="58" spans="2:2" x14ac:dyDescent="0.2">
      <c r="B58" s="8">
        <v>247</v>
      </c>
    </row>
    <row r="59" spans="2:2" x14ac:dyDescent="0.2">
      <c r="B59" s="8">
        <v>410</v>
      </c>
    </row>
    <row r="60" spans="2:2" x14ac:dyDescent="0.2">
      <c r="B60" s="8">
        <v>395</v>
      </c>
    </row>
    <row r="61" spans="2:2" x14ac:dyDescent="0.2">
      <c r="B61" s="8">
        <v>416</v>
      </c>
    </row>
    <row r="62" spans="2:2" x14ac:dyDescent="0.2">
      <c r="B62" s="8">
        <v>342</v>
      </c>
    </row>
    <row r="63" spans="2:2" x14ac:dyDescent="0.2">
      <c r="B63" s="8">
        <v>446</v>
      </c>
    </row>
    <row r="64" spans="2:2" x14ac:dyDescent="0.2">
      <c r="B64" s="8">
        <v>477</v>
      </c>
    </row>
    <row r="65" spans="2:2" x14ac:dyDescent="0.2">
      <c r="B65" s="8">
        <v>444</v>
      </c>
    </row>
    <row r="66" spans="2:2" x14ac:dyDescent="0.2">
      <c r="B66" s="8">
        <v>351</v>
      </c>
    </row>
    <row r="67" spans="2:2" x14ac:dyDescent="0.2">
      <c r="B67" s="8">
        <v>165</v>
      </c>
    </row>
    <row r="68" spans="2:2" x14ac:dyDescent="0.2">
      <c r="B68" s="8">
        <v>317</v>
      </c>
    </row>
    <row r="69" spans="2:2" x14ac:dyDescent="0.2">
      <c r="B69" s="8">
        <v>250</v>
      </c>
    </row>
    <row r="70" spans="2:2" x14ac:dyDescent="0.2">
      <c r="B70" s="8">
        <v>217</v>
      </c>
    </row>
    <row r="71" spans="2:2" x14ac:dyDescent="0.2">
      <c r="B71" s="8">
        <v>138</v>
      </c>
    </row>
    <row r="72" spans="2:2" x14ac:dyDescent="0.2">
      <c r="B72" s="8">
        <v>302</v>
      </c>
    </row>
    <row r="73" spans="2:2" x14ac:dyDescent="0.2">
      <c r="B73" s="8">
        <v>311</v>
      </c>
    </row>
    <row r="74" spans="2:2" x14ac:dyDescent="0.2">
      <c r="B74" s="8">
        <v>373</v>
      </c>
    </row>
    <row r="75" spans="2:2" x14ac:dyDescent="0.2">
      <c r="B75" s="8">
        <v>196</v>
      </c>
    </row>
    <row r="76" spans="2:2" x14ac:dyDescent="0.2">
      <c r="B76" s="8">
        <v>306</v>
      </c>
    </row>
    <row r="77" spans="2:2" x14ac:dyDescent="0.2">
      <c r="B77" s="8">
        <v>302</v>
      </c>
    </row>
    <row r="78" spans="2:2" x14ac:dyDescent="0.2">
      <c r="B78" s="8">
        <v>278</v>
      </c>
    </row>
    <row r="79" spans="2:2" x14ac:dyDescent="0.2">
      <c r="B79" s="8">
        <v>429</v>
      </c>
    </row>
    <row r="80" spans="2:2" x14ac:dyDescent="0.2">
      <c r="B80" s="8">
        <v>338</v>
      </c>
    </row>
    <row r="81" spans="2:2" x14ac:dyDescent="0.2">
      <c r="B81" s="8">
        <v>261</v>
      </c>
    </row>
    <row r="82" spans="2:2" x14ac:dyDescent="0.2">
      <c r="B82" s="8">
        <v>256</v>
      </c>
    </row>
    <row r="83" spans="2:2" x14ac:dyDescent="0.2">
      <c r="B83" s="8">
        <v>183</v>
      </c>
    </row>
    <row r="84" spans="2:2" x14ac:dyDescent="0.2">
      <c r="B84" s="8">
        <v>274</v>
      </c>
    </row>
    <row r="85" spans="2:2" x14ac:dyDescent="0.2">
      <c r="B85" s="8">
        <v>182</v>
      </c>
    </row>
    <row r="86" spans="2:2" x14ac:dyDescent="0.2">
      <c r="B86" s="8">
        <v>183</v>
      </c>
    </row>
    <row r="87" spans="2:2" x14ac:dyDescent="0.2">
      <c r="B87" s="8">
        <v>309</v>
      </c>
    </row>
    <row r="88" spans="2:2" x14ac:dyDescent="0.2">
      <c r="B88" s="8">
        <v>178</v>
      </c>
    </row>
    <row r="89" spans="2:2" x14ac:dyDescent="0.2">
      <c r="B89" s="8">
        <v>458</v>
      </c>
    </row>
    <row r="90" spans="2:2" x14ac:dyDescent="0.2">
      <c r="B90" s="8">
        <v>234</v>
      </c>
    </row>
    <row r="91" spans="2:2" x14ac:dyDescent="0.2">
      <c r="B91" s="8">
        <v>306</v>
      </c>
    </row>
    <row r="92" spans="2:2" x14ac:dyDescent="0.2">
      <c r="B92" s="8">
        <v>400</v>
      </c>
    </row>
    <row r="93" spans="2:2" x14ac:dyDescent="0.2">
      <c r="B93" s="8">
        <v>337</v>
      </c>
    </row>
    <row r="94" spans="2:2" x14ac:dyDescent="0.2">
      <c r="B94" s="8">
        <v>325</v>
      </c>
    </row>
    <row r="95" spans="2:2" x14ac:dyDescent="0.2">
      <c r="B95" s="8">
        <v>329</v>
      </c>
    </row>
    <row r="96" spans="2:2" x14ac:dyDescent="0.2">
      <c r="B96" s="8">
        <v>369</v>
      </c>
    </row>
    <row r="97" spans="2:2" x14ac:dyDescent="0.2">
      <c r="B97" s="8">
        <v>457</v>
      </c>
    </row>
    <row r="98" spans="2:2" x14ac:dyDescent="0.2">
      <c r="B98" s="8">
        <v>421</v>
      </c>
    </row>
    <row r="99" spans="2:2" x14ac:dyDescent="0.2">
      <c r="B99" s="8">
        <v>282</v>
      </c>
    </row>
    <row r="100" spans="2:2" x14ac:dyDescent="0.2">
      <c r="B100" s="8">
        <v>256</v>
      </c>
    </row>
  </sheetData>
  <mergeCells count="2">
    <mergeCell ref="D5:G5"/>
    <mergeCell ref="I5:J5"/>
  </mergeCells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DE470-41A9-44DC-A4DD-9E9CD0C95766}">
  <sheetPr codeName="Sheet40">
    <tabColor theme="7" tint="0.79998168889431442"/>
  </sheetPr>
  <dimension ref="B1:P100"/>
  <sheetViews>
    <sheetView showGridLines="0" workbookViewId="0">
      <selection activeCell="P6" sqref="P6"/>
    </sheetView>
  </sheetViews>
  <sheetFormatPr baseColWidth="10" defaultColWidth="8.83203125" defaultRowHeight="15" x14ac:dyDescent="0.2"/>
  <cols>
    <col min="1" max="1" width="2.83203125" customWidth="1"/>
    <col min="2" max="2" width="19.33203125" bestFit="1" customWidth="1"/>
    <col min="4" max="4" width="6.5" customWidth="1"/>
    <col min="5" max="6" width="2.83203125" customWidth="1"/>
    <col min="7" max="7" width="9.1640625" customWidth="1"/>
    <col min="9" max="9" width="11.5" customWidth="1"/>
    <col min="12" max="12" width="12.1640625" customWidth="1"/>
    <col min="13" max="13" width="11.5" customWidth="1"/>
    <col min="15" max="15" width="15.6640625" bestFit="1" customWidth="1"/>
  </cols>
  <sheetData>
    <row r="1" spans="2:16" ht="25.5" customHeight="1" x14ac:dyDescent="0.25">
      <c r="B1" s="18" t="s">
        <v>205</v>
      </c>
    </row>
    <row r="2" spans="2:16" ht="15" customHeight="1" x14ac:dyDescent="0.2">
      <c r="B2" s="30" t="s">
        <v>193</v>
      </c>
    </row>
    <row r="3" spans="2:16" ht="18" customHeight="1" x14ac:dyDescent="0.2"/>
    <row r="4" spans="2:16" x14ac:dyDescent="0.2">
      <c r="D4" s="3"/>
      <c r="L4" s="3" t="s">
        <v>54</v>
      </c>
      <c r="O4" s="3" t="s">
        <v>54</v>
      </c>
    </row>
    <row r="5" spans="2:16" x14ac:dyDescent="0.2">
      <c r="B5" s="7" t="s">
        <v>23</v>
      </c>
      <c r="D5" s="117" t="s">
        <v>199</v>
      </c>
      <c r="E5" s="117"/>
      <c r="F5" s="117"/>
      <c r="G5" s="117"/>
      <c r="I5" s="117" t="s">
        <v>201</v>
      </c>
      <c r="J5" s="117"/>
      <c r="L5" s="115" t="s">
        <v>139</v>
      </c>
      <c r="M5" s="115"/>
      <c r="O5" s="115" t="s">
        <v>204</v>
      </c>
      <c r="P5" s="115"/>
    </row>
    <row r="6" spans="2:16" x14ac:dyDescent="0.2">
      <c r="B6" s="8">
        <v>276</v>
      </c>
      <c r="D6" s="20" t="s">
        <v>195</v>
      </c>
      <c r="E6" s="89" t="s">
        <v>197</v>
      </c>
      <c r="F6" s="89" t="s">
        <v>198</v>
      </c>
      <c r="G6" s="90">
        <v>300</v>
      </c>
      <c r="I6" s="20" t="s">
        <v>143</v>
      </c>
      <c r="J6" s="71">
        <v>0.1</v>
      </c>
      <c r="L6" s="20" t="s">
        <v>71</v>
      </c>
      <c r="M6" s="71">
        <f>COUNT(B6:B100)</f>
        <v>95</v>
      </c>
      <c r="O6" s="20" t="s">
        <v>146</v>
      </c>
      <c r="P6" s="75">
        <f>M8/SQRT(M6)</f>
        <v>9.5950571497434378</v>
      </c>
    </row>
    <row r="7" spans="2:16" x14ac:dyDescent="0.2">
      <c r="B7" s="8">
        <v>410</v>
      </c>
      <c r="D7" s="20" t="s">
        <v>196</v>
      </c>
      <c r="E7" s="89" t="s">
        <v>197</v>
      </c>
      <c r="F7" s="89" t="s">
        <v>200</v>
      </c>
      <c r="G7" s="90">
        <v>300</v>
      </c>
      <c r="I7" s="20"/>
      <c r="J7" s="1"/>
      <c r="L7" s="20" t="s">
        <v>46</v>
      </c>
      <c r="M7" s="72">
        <f>AVERAGE(B6:B100)</f>
        <v>289.34736842105264</v>
      </c>
      <c r="O7" s="20" t="s">
        <v>202</v>
      </c>
      <c r="P7" s="91">
        <f>(M7-G6)/P6</f>
        <v>-1.1102207535295614</v>
      </c>
    </row>
    <row r="8" spans="2:16" x14ac:dyDescent="0.2">
      <c r="B8" s="8">
        <v>119</v>
      </c>
      <c r="D8" s="20"/>
      <c r="E8" s="36"/>
      <c r="F8" s="36"/>
      <c r="G8" s="36"/>
      <c r="L8" s="20" t="s">
        <v>70</v>
      </c>
      <c r="M8" s="75">
        <f>_xlfn.STDEV.S(B6:B100)</f>
        <v>93.521048765238149</v>
      </c>
    </row>
    <row r="9" spans="2:16" x14ac:dyDescent="0.2">
      <c r="B9" s="8">
        <v>334</v>
      </c>
      <c r="D9" s="20"/>
      <c r="E9" s="37"/>
      <c r="F9" s="37"/>
      <c r="G9" s="37"/>
    </row>
    <row r="10" spans="2:16" x14ac:dyDescent="0.2">
      <c r="B10" s="8">
        <v>252</v>
      </c>
      <c r="D10" s="20"/>
      <c r="E10" s="22"/>
      <c r="F10" s="22"/>
      <c r="G10" s="22"/>
    </row>
    <row r="11" spans="2:16" x14ac:dyDescent="0.2">
      <c r="B11" s="8">
        <v>209</v>
      </c>
      <c r="D11" s="20"/>
      <c r="E11" s="22"/>
      <c r="F11" s="22"/>
      <c r="G11" s="22"/>
    </row>
    <row r="12" spans="2:16" x14ac:dyDescent="0.2">
      <c r="B12" s="8">
        <v>462</v>
      </c>
    </row>
    <row r="13" spans="2:16" x14ac:dyDescent="0.2">
      <c r="B13" s="8">
        <v>342</v>
      </c>
    </row>
    <row r="14" spans="2:16" x14ac:dyDescent="0.2">
      <c r="B14" s="8">
        <v>347</v>
      </c>
    </row>
    <row r="15" spans="2:16" x14ac:dyDescent="0.2">
      <c r="B15" s="8">
        <v>313</v>
      </c>
    </row>
    <row r="16" spans="2:16" x14ac:dyDescent="0.2">
      <c r="B16" s="8">
        <v>232</v>
      </c>
    </row>
    <row r="17" spans="2:2" x14ac:dyDescent="0.2">
      <c r="B17" s="8">
        <v>163</v>
      </c>
    </row>
    <row r="18" spans="2:2" x14ac:dyDescent="0.2">
      <c r="B18" s="8">
        <v>119</v>
      </c>
    </row>
    <row r="19" spans="2:2" x14ac:dyDescent="0.2">
      <c r="B19" s="8">
        <v>304</v>
      </c>
    </row>
    <row r="20" spans="2:2" x14ac:dyDescent="0.2">
      <c r="B20" s="8">
        <v>211</v>
      </c>
    </row>
    <row r="21" spans="2:2" x14ac:dyDescent="0.2">
      <c r="B21" s="8">
        <v>286</v>
      </c>
    </row>
    <row r="22" spans="2:2" x14ac:dyDescent="0.2">
      <c r="B22" s="8">
        <v>122</v>
      </c>
    </row>
    <row r="23" spans="2:2" x14ac:dyDescent="0.2">
      <c r="B23" s="8">
        <v>443</v>
      </c>
    </row>
    <row r="24" spans="2:2" x14ac:dyDescent="0.2">
      <c r="B24" s="8">
        <v>366</v>
      </c>
    </row>
    <row r="25" spans="2:2" x14ac:dyDescent="0.2">
      <c r="B25" s="8">
        <v>244</v>
      </c>
    </row>
    <row r="26" spans="2:2" x14ac:dyDescent="0.2">
      <c r="B26" s="8">
        <v>241</v>
      </c>
    </row>
    <row r="27" spans="2:2" x14ac:dyDescent="0.2">
      <c r="B27" s="8">
        <v>237</v>
      </c>
    </row>
    <row r="28" spans="2:2" x14ac:dyDescent="0.2">
      <c r="B28" s="8">
        <v>122</v>
      </c>
    </row>
    <row r="29" spans="2:2" x14ac:dyDescent="0.2">
      <c r="B29" s="8">
        <v>129</v>
      </c>
    </row>
    <row r="30" spans="2:2" x14ac:dyDescent="0.2">
      <c r="B30" s="8">
        <v>236</v>
      </c>
    </row>
    <row r="31" spans="2:2" x14ac:dyDescent="0.2">
      <c r="B31" s="8">
        <v>251</v>
      </c>
    </row>
    <row r="32" spans="2:2" x14ac:dyDescent="0.2">
      <c r="B32" s="8">
        <v>283</v>
      </c>
    </row>
    <row r="33" spans="2:2" x14ac:dyDescent="0.2">
      <c r="B33" s="8">
        <v>225</v>
      </c>
    </row>
    <row r="34" spans="2:2" x14ac:dyDescent="0.2">
      <c r="B34" s="8">
        <v>102</v>
      </c>
    </row>
    <row r="35" spans="2:2" x14ac:dyDescent="0.2">
      <c r="B35" s="8">
        <v>180</v>
      </c>
    </row>
    <row r="36" spans="2:2" x14ac:dyDescent="0.2">
      <c r="B36" s="8">
        <v>247</v>
      </c>
    </row>
    <row r="37" spans="2:2" x14ac:dyDescent="0.2">
      <c r="B37" s="8">
        <v>343</v>
      </c>
    </row>
    <row r="38" spans="2:2" x14ac:dyDescent="0.2">
      <c r="B38" s="8">
        <v>283</v>
      </c>
    </row>
    <row r="39" spans="2:2" x14ac:dyDescent="0.2">
      <c r="B39" s="8">
        <v>253</v>
      </c>
    </row>
    <row r="40" spans="2:2" x14ac:dyDescent="0.2">
      <c r="B40" s="8">
        <v>263</v>
      </c>
    </row>
    <row r="41" spans="2:2" x14ac:dyDescent="0.2">
      <c r="B41" s="8">
        <v>291</v>
      </c>
    </row>
    <row r="42" spans="2:2" x14ac:dyDescent="0.2">
      <c r="B42" s="8">
        <v>368</v>
      </c>
    </row>
    <row r="43" spans="2:2" x14ac:dyDescent="0.2">
      <c r="B43" s="8">
        <v>206</v>
      </c>
    </row>
    <row r="44" spans="2:2" x14ac:dyDescent="0.2">
      <c r="B44" s="8">
        <v>231</v>
      </c>
    </row>
    <row r="45" spans="2:2" x14ac:dyDescent="0.2">
      <c r="B45" s="8">
        <v>389</v>
      </c>
    </row>
    <row r="46" spans="2:2" x14ac:dyDescent="0.2">
      <c r="B46" s="8">
        <v>396</v>
      </c>
    </row>
    <row r="47" spans="2:2" x14ac:dyDescent="0.2">
      <c r="B47" s="8">
        <v>339</v>
      </c>
    </row>
    <row r="48" spans="2:2" x14ac:dyDescent="0.2">
      <c r="B48" s="8">
        <v>286</v>
      </c>
    </row>
    <row r="49" spans="2:2" x14ac:dyDescent="0.2">
      <c r="B49" s="8">
        <v>146</v>
      </c>
    </row>
    <row r="50" spans="2:2" x14ac:dyDescent="0.2">
      <c r="B50" s="8">
        <v>315</v>
      </c>
    </row>
    <row r="51" spans="2:2" x14ac:dyDescent="0.2">
      <c r="B51" s="8">
        <v>183</v>
      </c>
    </row>
    <row r="52" spans="2:2" x14ac:dyDescent="0.2">
      <c r="B52" s="8">
        <v>481</v>
      </c>
    </row>
    <row r="53" spans="2:2" x14ac:dyDescent="0.2">
      <c r="B53" s="8">
        <v>349</v>
      </c>
    </row>
    <row r="54" spans="2:2" x14ac:dyDescent="0.2">
      <c r="B54" s="8">
        <v>225</v>
      </c>
    </row>
    <row r="55" spans="2:2" x14ac:dyDescent="0.2">
      <c r="B55" s="8">
        <v>217</v>
      </c>
    </row>
    <row r="56" spans="2:2" x14ac:dyDescent="0.2">
      <c r="B56" s="8">
        <v>353</v>
      </c>
    </row>
    <row r="57" spans="2:2" x14ac:dyDescent="0.2">
      <c r="B57" s="8">
        <v>314</v>
      </c>
    </row>
    <row r="58" spans="2:2" x14ac:dyDescent="0.2">
      <c r="B58" s="8">
        <v>247</v>
      </c>
    </row>
    <row r="59" spans="2:2" x14ac:dyDescent="0.2">
      <c r="B59" s="8">
        <v>410</v>
      </c>
    </row>
    <row r="60" spans="2:2" x14ac:dyDescent="0.2">
      <c r="B60" s="8">
        <v>395</v>
      </c>
    </row>
    <row r="61" spans="2:2" x14ac:dyDescent="0.2">
      <c r="B61" s="8">
        <v>416</v>
      </c>
    </row>
    <row r="62" spans="2:2" x14ac:dyDescent="0.2">
      <c r="B62" s="8">
        <v>342</v>
      </c>
    </row>
    <row r="63" spans="2:2" x14ac:dyDescent="0.2">
      <c r="B63" s="8">
        <v>446</v>
      </c>
    </row>
    <row r="64" spans="2:2" x14ac:dyDescent="0.2">
      <c r="B64" s="8">
        <v>477</v>
      </c>
    </row>
    <row r="65" spans="2:2" x14ac:dyDescent="0.2">
      <c r="B65" s="8">
        <v>444</v>
      </c>
    </row>
    <row r="66" spans="2:2" x14ac:dyDescent="0.2">
      <c r="B66" s="8">
        <v>351</v>
      </c>
    </row>
    <row r="67" spans="2:2" x14ac:dyDescent="0.2">
      <c r="B67" s="8">
        <v>165</v>
      </c>
    </row>
    <row r="68" spans="2:2" x14ac:dyDescent="0.2">
      <c r="B68" s="8">
        <v>317</v>
      </c>
    </row>
    <row r="69" spans="2:2" x14ac:dyDescent="0.2">
      <c r="B69" s="8">
        <v>250</v>
      </c>
    </row>
    <row r="70" spans="2:2" x14ac:dyDescent="0.2">
      <c r="B70" s="8">
        <v>217</v>
      </c>
    </row>
    <row r="71" spans="2:2" x14ac:dyDescent="0.2">
      <c r="B71" s="8">
        <v>138</v>
      </c>
    </row>
    <row r="72" spans="2:2" x14ac:dyDescent="0.2">
      <c r="B72" s="8">
        <v>302</v>
      </c>
    </row>
    <row r="73" spans="2:2" x14ac:dyDescent="0.2">
      <c r="B73" s="8">
        <v>311</v>
      </c>
    </row>
    <row r="74" spans="2:2" x14ac:dyDescent="0.2">
      <c r="B74" s="8">
        <v>373</v>
      </c>
    </row>
    <row r="75" spans="2:2" x14ac:dyDescent="0.2">
      <c r="B75" s="8">
        <v>196</v>
      </c>
    </row>
    <row r="76" spans="2:2" x14ac:dyDescent="0.2">
      <c r="B76" s="8">
        <v>306</v>
      </c>
    </row>
    <row r="77" spans="2:2" x14ac:dyDescent="0.2">
      <c r="B77" s="8">
        <v>302</v>
      </c>
    </row>
    <row r="78" spans="2:2" x14ac:dyDescent="0.2">
      <c r="B78" s="8">
        <v>278</v>
      </c>
    </row>
    <row r="79" spans="2:2" x14ac:dyDescent="0.2">
      <c r="B79" s="8">
        <v>429</v>
      </c>
    </row>
    <row r="80" spans="2:2" x14ac:dyDescent="0.2">
      <c r="B80" s="8">
        <v>338</v>
      </c>
    </row>
    <row r="81" spans="2:2" x14ac:dyDescent="0.2">
      <c r="B81" s="8">
        <v>261</v>
      </c>
    </row>
    <row r="82" spans="2:2" x14ac:dyDescent="0.2">
      <c r="B82" s="8">
        <v>256</v>
      </c>
    </row>
    <row r="83" spans="2:2" x14ac:dyDescent="0.2">
      <c r="B83" s="8">
        <v>183</v>
      </c>
    </row>
    <row r="84" spans="2:2" x14ac:dyDescent="0.2">
      <c r="B84" s="8">
        <v>274</v>
      </c>
    </row>
    <row r="85" spans="2:2" x14ac:dyDescent="0.2">
      <c r="B85" s="8">
        <v>182</v>
      </c>
    </row>
    <row r="86" spans="2:2" x14ac:dyDescent="0.2">
      <c r="B86" s="8">
        <v>183</v>
      </c>
    </row>
    <row r="87" spans="2:2" x14ac:dyDescent="0.2">
      <c r="B87" s="8">
        <v>309</v>
      </c>
    </row>
    <row r="88" spans="2:2" x14ac:dyDescent="0.2">
      <c r="B88" s="8">
        <v>178</v>
      </c>
    </row>
    <row r="89" spans="2:2" x14ac:dyDescent="0.2">
      <c r="B89" s="8">
        <v>458</v>
      </c>
    </row>
    <row r="90" spans="2:2" x14ac:dyDescent="0.2">
      <c r="B90" s="8">
        <v>234</v>
      </c>
    </row>
    <row r="91" spans="2:2" x14ac:dyDescent="0.2">
      <c r="B91" s="8">
        <v>306</v>
      </c>
    </row>
    <row r="92" spans="2:2" x14ac:dyDescent="0.2">
      <c r="B92" s="8">
        <v>400</v>
      </c>
    </row>
    <row r="93" spans="2:2" x14ac:dyDescent="0.2">
      <c r="B93" s="8">
        <v>337</v>
      </c>
    </row>
    <row r="94" spans="2:2" x14ac:dyDescent="0.2">
      <c r="B94" s="8">
        <v>325</v>
      </c>
    </row>
    <row r="95" spans="2:2" x14ac:dyDescent="0.2">
      <c r="B95" s="8">
        <v>329</v>
      </c>
    </row>
    <row r="96" spans="2:2" x14ac:dyDescent="0.2">
      <c r="B96" s="8">
        <v>369</v>
      </c>
    </row>
    <row r="97" spans="2:2" x14ac:dyDescent="0.2">
      <c r="B97" s="8">
        <v>457</v>
      </c>
    </row>
    <row r="98" spans="2:2" x14ac:dyDescent="0.2">
      <c r="B98" s="8">
        <v>421</v>
      </c>
    </row>
    <row r="99" spans="2:2" x14ac:dyDescent="0.2">
      <c r="B99" s="8">
        <v>282</v>
      </c>
    </row>
    <row r="100" spans="2:2" x14ac:dyDescent="0.2">
      <c r="B100" s="8">
        <v>256</v>
      </c>
    </row>
  </sheetData>
  <mergeCells count="4">
    <mergeCell ref="L5:M5"/>
    <mergeCell ref="D5:G5"/>
    <mergeCell ref="I5:J5"/>
    <mergeCell ref="O5:P5"/>
  </mergeCells>
  <pageMargins left="0.7" right="0.7" top="0.75" bottom="0.75" header="0.3" footer="0.3"/>
  <pageSetup orientation="portrait" r:id="rId1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18D1F-7893-4124-9121-7A8EF918AD3E}">
  <sheetPr codeName="Sheet41">
    <tabColor theme="7" tint="0.79998168889431442"/>
  </sheetPr>
  <dimension ref="B1:P100"/>
  <sheetViews>
    <sheetView showGridLines="0" workbookViewId="0">
      <selection activeCell="M8" sqref="M8"/>
    </sheetView>
  </sheetViews>
  <sheetFormatPr baseColWidth="10" defaultColWidth="8.83203125" defaultRowHeight="15" x14ac:dyDescent="0.2"/>
  <cols>
    <col min="1" max="1" width="2.83203125" customWidth="1"/>
    <col min="2" max="2" width="19.33203125" bestFit="1" customWidth="1"/>
    <col min="4" max="4" width="6.5" customWidth="1"/>
    <col min="5" max="6" width="2.83203125" customWidth="1"/>
    <col min="7" max="7" width="9.1640625" customWidth="1"/>
    <col min="9" max="9" width="11.5" customWidth="1"/>
    <col min="12" max="12" width="12.1640625" customWidth="1"/>
    <col min="13" max="13" width="11.5" customWidth="1"/>
    <col min="15" max="15" width="15.6640625" bestFit="1" customWidth="1"/>
  </cols>
  <sheetData>
    <row r="1" spans="2:16" ht="25.5" customHeight="1" x14ac:dyDescent="0.25">
      <c r="B1" s="18" t="s">
        <v>205</v>
      </c>
    </row>
    <row r="2" spans="2:16" ht="15" customHeight="1" x14ac:dyDescent="0.2">
      <c r="B2" s="30" t="s">
        <v>194</v>
      </c>
    </row>
    <row r="3" spans="2:16" ht="18" customHeight="1" x14ac:dyDescent="0.2"/>
    <row r="4" spans="2:16" x14ac:dyDescent="0.2">
      <c r="D4" s="3"/>
      <c r="L4" s="3" t="s">
        <v>54</v>
      </c>
      <c r="O4" s="3" t="s">
        <v>54</v>
      </c>
    </row>
    <row r="5" spans="2:16" x14ac:dyDescent="0.2">
      <c r="B5" s="7" t="s">
        <v>23</v>
      </c>
      <c r="D5" s="117" t="s">
        <v>199</v>
      </c>
      <c r="E5" s="117"/>
      <c r="F5" s="117"/>
      <c r="G5" s="117"/>
      <c r="I5" s="117" t="s">
        <v>201</v>
      </c>
      <c r="J5" s="117"/>
      <c r="L5" s="115" t="s">
        <v>139</v>
      </c>
      <c r="M5" s="115"/>
      <c r="O5" s="115" t="s">
        <v>204</v>
      </c>
      <c r="P5" s="115"/>
    </row>
    <row r="6" spans="2:16" x14ac:dyDescent="0.2">
      <c r="B6" s="8">
        <v>276</v>
      </c>
      <c r="D6" s="20" t="s">
        <v>195</v>
      </c>
      <c r="E6" s="89" t="s">
        <v>197</v>
      </c>
      <c r="F6" s="89" t="s">
        <v>198</v>
      </c>
      <c r="G6" s="90">
        <v>300</v>
      </c>
      <c r="I6" s="20" t="s">
        <v>143</v>
      </c>
      <c r="J6" s="71">
        <v>0.1</v>
      </c>
      <c r="L6" s="20" t="s">
        <v>71</v>
      </c>
      <c r="M6" s="71">
        <f>COUNT(B6:B100)</f>
        <v>95</v>
      </c>
      <c r="O6" s="20" t="s">
        <v>146</v>
      </c>
      <c r="P6" s="75">
        <f>M8/SQRT(M6)</f>
        <v>9.5950571497434378</v>
      </c>
    </row>
    <row r="7" spans="2:16" x14ac:dyDescent="0.2">
      <c r="B7" s="8">
        <v>410</v>
      </c>
      <c r="D7" s="20" t="s">
        <v>196</v>
      </c>
      <c r="E7" s="89" t="s">
        <v>197</v>
      </c>
      <c r="F7" s="89" t="s">
        <v>200</v>
      </c>
      <c r="G7" s="90">
        <v>300</v>
      </c>
      <c r="I7" s="20"/>
      <c r="J7" s="1"/>
      <c r="L7" s="20" t="s">
        <v>46</v>
      </c>
      <c r="M7" s="72">
        <f>AVERAGE(B6:B100)</f>
        <v>289.34736842105264</v>
      </c>
      <c r="O7" s="20" t="s">
        <v>202</v>
      </c>
      <c r="P7" s="91">
        <f>(M7-G6)/P6</f>
        <v>-1.1102207535295614</v>
      </c>
    </row>
    <row r="8" spans="2:16" x14ac:dyDescent="0.2">
      <c r="B8" s="8">
        <v>119</v>
      </c>
      <c r="D8" s="20"/>
      <c r="E8" s="36"/>
      <c r="F8" s="36"/>
      <c r="G8" s="36"/>
      <c r="L8" s="20" t="s">
        <v>70</v>
      </c>
      <c r="M8" s="75">
        <f>_xlfn.STDEV.S(B6:B100)</f>
        <v>93.521048765238149</v>
      </c>
      <c r="O8" s="20" t="s">
        <v>207</v>
      </c>
      <c r="P8" s="70">
        <f>_xlfn.T.DIST(P7,M6-1,TRUE)*2</f>
        <v>0.26973589884432797</v>
      </c>
    </row>
    <row r="9" spans="2:16" x14ac:dyDescent="0.2">
      <c r="B9" s="8">
        <v>334</v>
      </c>
      <c r="D9" s="20"/>
      <c r="E9" s="37"/>
      <c r="F9" s="37"/>
      <c r="G9" s="37"/>
    </row>
    <row r="10" spans="2:16" x14ac:dyDescent="0.2">
      <c r="B10" s="8">
        <v>252</v>
      </c>
      <c r="D10" s="20"/>
      <c r="E10" s="22"/>
      <c r="F10" s="22"/>
      <c r="G10" s="22"/>
    </row>
    <row r="11" spans="2:16" x14ac:dyDescent="0.2">
      <c r="B11" s="8">
        <v>209</v>
      </c>
      <c r="D11" s="20"/>
      <c r="E11" s="22"/>
      <c r="F11" s="22"/>
      <c r="G11" s="22"/>
    </row>
    <row r="12" spans="2:16" x14ac:dyDescent="0.2">
      <c r="B12" s="8">
        <v>462</v>
      </c>
    </row>
    <row r="13" spans="2:16" x14ac:dyDescent="0.2">
      <c r="B13" s="8">
        <v>342</v>
      </c>
    </row>
    <row r="14" spans="2:16" x14ac:dyDescent="0.2">
      <c r="B14" s="8">
        <v>347</v>
      </c>
    </row>
    <row r="15" spans="2:16" x14ac:dyDescent="0.2">
      <c r="B15" s="8">
        <v>313</v>
      </c>
    </row>
    <row r="16" spans="2:16" x14ac:dyDescent="0.2">
      <c r="B16" s="8">
        <v>232</v>
      </c>
    </row>
    <row r="17" spans="2:2" x14ac:dyDescent="0.2">
      <c r="B17" s="8">
        <v>163</v>
      </c>
    </row>
    <row r="18" spans="2:2" x14ac:dyDescent="0.2">
      <c r="B18" s="8">
        <v>119</v>
      </c>
    </row>
    <row r="19" spans="2:2" x14ac:dyDescent="0.2">
      <c r="B19" s="8">
        <v>304</v>
      </c>
    </row>
    <row r="20" spans="2:2" x14ac:dyDescent="0.2">
      <c r="B20" s="8">
        <v>211</v>
      </c>
    </row>
    <row r="21" spans="2:2" x14ac:dyDescent="0.2">
      <c r="B21" s="8">
        <v>286</v>
      </c>
    </row>
    <row r="22" spans="2:2" x14ac:dyDescent="0.2">
      <c r="B22" s="8">
        <v>122</v>
      </c>
    </row>
    <row r="23" spans="2:2" x14ac:dyDescent="0.2">
      <c r="B23" s="8">
        <v>443</v>
      </c>
    </row>
    <row r="24" spans="2:2" x14ac:dyDescent="0.2">
      <c r="B24" s="8">
        <v>366</v>
      </c>
    </row>
    <row r="25" spans="2:2" x14ac:dyDescent="0.2">
      <c r="B25" s="8">
        <v>244</v>
      </c>
    </row>
    <row r="26" spans="2:2" x14ac:dyDescent="0.2">
      <c r="B26" s="8">
        <v>241</v>
      </c>
    </row>
    <row r="27" spans="2:2" x14ac:dyDescent="0.2">
      <c r="B27" s="8">
        <v>237</v>
      </c>
    </row>
    <row r="28" spans="2:2" x14ac:dyDescent="0.2">
      <c r="B28" s="8">
        <v>122</v>
      </c>
    </row>
    <row r="29" spans="2:2" x14ac:dyDescent="0.2">
      <c r="B29" s="8">
        <v>129</v>
      </c>
    </row>
    <row r="30" spans="2:2" x14ac:dyDescent="0.2">
      <c r="B30" s="8">
        <v>236</v>
      </c>
    </row>
    <row r="31" spans="2:2" x14ac:dyDescent="0.2">
      <c r="B31" s="8">
        <v>251</v>
      </c>
    </row>
    <row r="32" spans="2:2" x14ac:dyDescent="0.2">
      <c r="B32" s="8">
        <v>283</v>
      </c>
    </row>
    <row r="33" spans="2:2" x14ac:dyDescent="0.2">
      <c r="B33" s="8">
        <v>225</v>
      </c>
    </row>
    <row r="34" spans="2:2" x14ac:dyDescent="0.2">
      <c r="B34" s="8">
        <v>102</v>
      </c>
    </row>
    <row r="35" spans="2:2" x14ac:dyDescent="0.2">
      <c r="B35" s="8">
        <v>180</v>
      </c>
    </row>
    <row r="36" spans="2:2" x14ac:dyDescent="0.2">
      <c r="B36" s="8">
        <v>247</v>
      </c>
    </row>
    <row r="37" spans="2:2" x14ac:dyDescent="0.2">
      <c r="B37" s="8">
        <v>343</v>
      </c>
    </row>
    <row r="38" spans="2:2" x14ac:dyDescent="0.2">
      <c r="B38" s="8">
        <v>283</v>
      </c>
    </row>
    <row r="39" spans="2:2" x14ac:dyDescent="0.2">
      <c r="B39" s="8">
        <v>253</v>
      </c>
    </row>
    <row r="40" spans="2:2" x14ac:dyDescent="0.2">
      <c r="B40" s="8">
        <v>263</v>
      </c>
    </row>
    <row r="41" spans="2:2" x14ac:dyDescent="0.2">
      <c r="B41" s="8">
        <v>291</v>
      </c>
    </row>
    <row r="42" spans="2:2" x14ac:dyDescent="0.2">
      <c r="B42" s="8">
        <v>368</v>
      </c>
    </row>
    <row r="43" spans="2:2" x14ac:dyDescent="0.2">
      <c r="B43" s="8">
        <v>206</v>
      </c>
    </row>
    <row r="44" spans="2:2" x14ac:dyDescent="0.2">
      <c r="B44" s="8">
        <v>231</v>
      </c>
    </row>
    <row r="45" spans="2:2" x14ac:dyDescent="0.2">
      <c r="B45" s="8">
        <v>389</v>
      </c>
    </row>
    <row r="46" spans="2:2" x14ac:dyDescent="0.2">
      <c r="B46" s="8">
        <v>396</v>
      </c>
    </row>
    <row r="47" spans="2:2" x14ac:dyDescent="0.2">
      <c r="B47" s="8">
        <v>339</v>
      </c>
    </row>
    <row r="48" spans="2:2" x14ac:dyDescent="0.2">
      <c r="B48" s="8">
        <v>286</v>
      </c>
    </row>
    <row r="49" spans="2:2" x14ac:dyDescent="0.2">
      <c r="B49" s="8">
        <v>146</v>
      </c>
    </row>
    <row r="50" spans="2:2" x14ac:dyDescent="0.2">
      <c r="B50" s="8">
        <v>315</v>
      </c>
    </row>
    <row r="51" spans="2:2" x14ac:dyDescent="0.2">
      <c r="B51" s="8">
        <v>183</v>
      </c>
    </row>
    <row r="52" spans="2:2" x14ac:dyDescent="0.2">
      <c r="B52" s="8">
        <v>481</v>
      </c>
    </row>
    <row r="53" spans="2:2" x14ac:dyDescent="0.2">
      <c r="B53" s="8">
        <v>349</v>
      </c>
    </row>
    <row r="54" spans="2:2" x14ac:dyDescent="0.2">
      <c r="B54" s="8">
        <v>225</v>
      </c>
    </row>
    <row r="55" spans="2:2" x14ac:dyDescent="0.2">
      <c r="B55" s="8">
        <v>217</v>
      </c>
    </row>
    <row r="56" spans="2:2" x14ac:dyDescent="0.2">
      <c r="B56" s="8">
        <v>353</v>
      </c>
    </row>
    <row r="57" spans="2:2" x14ac:dyDescent="0.2">
      <c r="B57" s="8">
        <v>314</v>
      </c>
    </row>
    <row r="58" spans="2:2" x14ac:dyDescent="0.2">
      <c r="B58" s="8">
        <v>247</v>
      </c>
    </row>
    <row r="59" spans="2:2" x14ac:dyDescent="0.2">
      <c r="B59" s="8">
        <v>410</v>
      </c>
    </row>
    <row r="60" spans="2:2" x14ac:dyDescent="0.2">
      <c r="B60" s="8">
        <v>395</v>
      </c>
    </row>
    <row r="61" spans="2:2" x14ac:dyDescent="0.2">
      <c r="B61" s="8">
        <v>416</v>
      </c>
    </row>
    <row r="62" spans="2:2" x14ac:dyDescent="0.2">
      <c r="B62" s="8">
        <v>342</v>
      </c>
    </row>
    <row r="63" spans="2:2" x14ac:dyDescent="0.2">
      <c r="B63" s="8">
        <v>446</v>
      </c>
    </row>
    <row r="64" spans="2:2" x14ac:dyDescent="0.2">
      <c r="B64" s="8">
        <v>477</v>
      </c>
    </row>
    <row r="65" spans="2:2" x14ac:dyDescent="0.2">
      <c r="B65" s="8">
        <v>444</v>
      </c>
    </row>
    <row r="66" spans="2:2" x14ac:dyDescent="0.2">
      <c r="B66" s="8">
        <v>351</v>
      </c>
    </row>
    <row r="67" spans="2:2" x14ac:dyDescent="0.2">
      <c r="B67" s="8">
        <v>165</v>
      </c>
    </row>
    <row r="68" spans="2:2" x14ac:dyDescent="0.2">
      <c r="B68" s="8">
        <v>317</v>
      </c>
    </row>
    <row r="69" spans="2:2" x14ac:dyDescent="0.2">
      <c r="B69" s="8">
        <v>250</v>
      </c>
    </row>
    <row r="70" spans="2:2" x14ac:dyDescent="0.2">
      <c r="B70" s="8">
        <v>217</v>
      </c>
    </row>
    <row r="71" spans="2:2" x14ac:dyDescent="0.2">
      <c r="B71" s="8">
        <v>138</v>
      </c>
    </row>
    <row r="72" spans="2:2" x14ac:dyDescent="0.2">
      <c r="B72" s="8">
        <v>302</v>
      </c>
    </row>
    <row r="73" spans="2:2" x14ac:dyDescent="0.2">
      <c r="B73" s="8">
        <v>311</v>
      </c>
    </row>
    <row r="74" spans="2:2" x14ac:dyDescent="0.2">
      <c r="B74" s="8">
        <v>373</v>
      </c>
    </row>
    <row r="75" spans="2:2" x14ac:dyDescent="0.2">
      <c r="B75" s="8">
        <v>196</v>
      </c>
    </row>
    <row r="76" spans="2:2" x14ac:dyDescent="0.2">
      <c r="B76" s="8">
        <v>306</v>
      </c>
    </row>
    <row r="77" spans="2:2" x14ac:dyDescent="0.2">
      <c r="B77" s="8">
        <v>302</v>
      </c>
    </row>
    <row r="78" spans="2:2" x14ac:dyDescent="0.2">
      <c r="B78" s="8">
        <v>278</v>
      </c>
    </row>
    <row r="79" spans="2:2" x14ac:dyDescent="0.2">
      <c r="B79" s="8">
        <v>429</v>
      </c>
    </row>
    <row r="80" spans="2:2" x14ac:dyDescent="0.2">
      <c r="B80" s="8">
        <v>338</v>
      </c>
    </row>
    <row r="81" spans="2:2" x14ac:dyDescent="0.2">
      <c r="B81" s="8">
        <v>261</v>
      </c>
    </row>
    <row r="82" spans="2:2" x14ac:dyDescent="0.2">
      <c r="B82" s="8">
        <v>256</v>
      </c>
    </row>
    <row r="83" spans="2:2" x14ac:dyDescent="0.2">
      <c r="B83" s="8">
        <v>183</v>
      </c>
    </row>
    <row r="84" spans="2:2" x14ac:dyDescent="0.2">
      <c r="B84" s="8">
        <v>274</v>
      </c>
    </row>
    <row r="85" spans="2:2" x14ac:dyDescent="0.2">
      <c r="B85" s="8">
        <v>182</v>
      </c>
    </row>
    <row r="86" spans="2:2" x14ac:dyDescent="0.2">
      <c r="B86" s="8">
        <v>183</v>
      </c>
    </row>
    <row r="87" spans="2:2" x14ac:dyDescent="0.2">
      <c r="B87" s="8">
        <v>309</v>
      </c>
    </row>
    <row r="88" spans="2:2" x14ac:dyDescent="0.2">
      <c r="B88" s="8">
        <v>178</v>
      </c>
    </row>
    <row r="89" spans="2:2" x14ac:dyDescent="0.2">
      <c r="B89" s="8">
        <v>458</v>
      </c>
    </row>
    <row r="90" spans="2:2" x14ac:dyDescent="0.2">
      <c r="B90" s="8">
        <v>234</v>
      </c>
    </row>
    <row r="91" spans="2:2" x14ac:dyDescent="0.2">
      <c r="B91" s="8">
        <v>306</v>
      </c>
    </row>
    <row r="92" spans="2:2" x14ac:dyDescent="0.2">
      <c r="B92" s="8">
        <v>400</v>
      </c>
    </row>
    <row r="93" spans="2:2" x14ac:dyDescent="0.2">
      <c r="B93" s="8">
        <v>337</v>
      </c>
    </row>
    <row r="94" spans="2:2" x14ac:dyDescent="0.2">
      <c r="B94" s="8">
        <v>325</v>
      </c>
    </row>
    <row r="95" spans="2:2" x14ac:dyDescent="0.2">
      <c r="B95" s="8">
        <v>329</v>
      </c>
    </row>
    <row r="96" spans="2:2" x14ac:dyDescent="0.2">
      <c r="B96" s="8">
        <v>369</v>
      </c>
    </row>
    <row r="97" spans="2:2" x14ac:dyDescent="0.2">
      <c r="B97" s="8">
        <v>457</v>
      </c>
    </row>
    <row r="98" spans="2:2" x14ac:dyDescent="0.2">
      <c r="B98" s="8">
        <v>421</v>
      </c>
    </row>
    <row r="99" spans="2:2" x14ac:dyDescent="0.2">
      <c r="B99" s="8">
        <v>282</v>
      </c>
    </row>
    <row r="100" spans="2:2" x14ac:dyDescent="0.2">
      <c r="B100" s="8">
        <v>256</v>
      </c>
    </row>
  </sheetData>
  <mergeCells count="4">
    <mergeCell ref="L5:M5"/>
    <mergeCell ref="D5:G5"/>
    <mergeCell ref="I5:J5"/>
    <mergeCell ref="O5:P5"/>
  </mergeCells>
  <pageMargins left="0.7" right="0.7" top="0.75" bottom="0.75" header="0.3" footer="0.3"/>
  <pageSetup orientation="portrait" r:id="rId1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C1FC3-0CC9-4766-81BC-3731414E5E21}">
  <sheetPr>
    <tabColor theme="7" tint="0.79998168889431442"/>
  </sheetPr>
  <dimension ref="B1:R100"/>
  <sheetViews>
    <sheetView showGridLines="0" workbookViewId="0">
      <selection activeCell="B8" sqref="B8"/>
    </sheetView>
  </sheetViews>
  <sheetFormatPr baseColWidth="10" defaultColWidth="8.83203125" defaultRowHeight="15" x14ac:dyDescent="0.2"/>
  <cols>
    <col min="1" max="1" width="2.83203125" customWidth="1"/>
    <col min="2" max="2" width="19.33203125" bestFit="1" customWidth="1"/>
    <col min="4" max="4" width="6.5" customWidth="1"/>
    <col min="5" max="6" width="2.83203125" customWidth="1"/>
    <col min="7" max="7" width="9.1640625" customWidth="1"/>
    <col min="9" max="9" width="11.5" customWidth="1"/>
    <col min="12" max="12" width="12.1640625" customWidth="1"/>
    <col min="13" max="13" width="11.5" customWidth="1"/>
    <col min="15" max="15" width="15.6640625" bestFit="1" customWidth="1"/>
    <col min="18" max="18" width="57.1640625" customWidth="1"/>
  </cols>
  <sheetData>
    <row r="1" spans="2:18" ht="25.5" customHeight="1" x14ac:dyDescent="0.25">
      <c r="B1" s="18" t="s">
        <v>205</v>
      </c>
    </row>
    <row r="2" spans="2:18" ht="15" customHeight="1" x14ac:dyDescent="0.2">
      <c r="B2" s="30" t="s">
        <v>309</v>
      </c>
    </row>
    <row r="3" spans="2:18" ht="18" customHeight="1" x14ac:dyDescent="0.2"/>
    <row r="4" spans="2:18" x14ac:dyDescent="0.2">
      <c r="D4" s="3"/>
      <c r="L4" s="3" t="s">
        <v>54</v>
      </c>
      <c r="O4" s="3" t="s">
        <v>54</v>
      </c>
    </row>
    <row r="5" spans="2:18" x14ac:dyDescent="0.2">
      <c r="B5" s="7" t="s">
        <v>23</v>
      </c>
      <c r="D5" s="117" t="s">
        <v>199</v>
      </c>
      <c r="E5" s="117"/>
      <c r="F5" s="117"/>
      <c r="G5" s="117"/>
      <c r="I5" s="117" t="s">
        <v>201</v>
      </c>
      <c r="J5" s="117"/>
      <c r="L5" s="115" t="s">
        <v>139</v>
      </c>
      <c r="M5" s="115"/>
      <c r="O5" s="115" t="s">
        <v>204</v>
      </c>
      <c r="P5" s="115"/>
      <c r="R5" s="50" t="s">
        <v>203</v>
      </c>
    </row>
    <row r="6" spans="2:18" x14ac:dyDescent="0.2">
      <c r="B6" s="8">
        <v>276</v>
      </c>
      <c r="D6" s="20" t="s">
        <v>195</v>
      </c>
      <c r="E6" s="89" t="s">
        <v>197</v>
      </c>
      <c r="F6" s="89" t="s">
        <v>198</v>
      </c>
      <c r="G6" s="90">
        <v>300</v>
      </c>
      <c r="I6" s="20" t="s">
        <v>143</v>
      </c>
      <c r="J6" s="71">
        <v>0.1</v>
      </c>
      <c r="L6" s="20" t="s">
        <v>71</v>
      </c>
      <c r="M6" s="71">
        <f>COUNT(B6:B100)</f>
        <v>95</v>
      </c>
      <c r="O6" s="20" t="s">
        <v>146</v>
      </c>
      <c r="P6" s="75">
        <f>M8/SQRT(M6)</f>
        <v>9.5950571497434378</v>
      </c>
      <c r="R6" s="118" t="s">
        <v>341</v>
      </c>
    </row>
    <row r="7" spans="2:18" x14ac:dyDescent="0.2">
      <c r="B7" s="8">
        <v>410</v>
      </c>
      <c r="D7" s="20" t="s">
        <v>196</v>
      </c>
      <c r="E7" s="89" t="s">
        <v>197</v>
      </c>
      <c r="F7" s="89" t="s">
        <v>200</v>
      </c>
      <c r="G7" s="90">
        <v>300</v>
      </c>
      <c r="I7" s="20"/>
      <c r="J7" s="1"/>
      <c r="L7" s="20" t="s">
        <v>46</v>
      </c>
      <c r="M7" s="72">
        <f>AVERAGE(B6:B100)</f>
        <v>289.34736842105264</v>
      </c>
      <c r="O7" s="20" t="s">
        <v>202</v>
      </c>
      <c r="P7" s="91">
        <f>(M7-G6)/P6</f>
        <v>-1.1102207535295614</v>
      </c>
      <c r="R7" s="118"/>
    </row>
    <row r="8" spans="2:18" x14ac:dyDescent="0.2">
      <c r="B8" s="8">
        <v>119</v>
      </c>
      <c r="D8" s="20"/>
      <c r="E8" s="36"/>
      <c r="F8" s="36"/>
      <c r="G8" s="36"/>
      <c r="L8" s="20" t="s">
        <v>70</v>
      </c>
      <c r="M8" s="75">
        <f>_xlfn.STDEV.S(B6:B100)</f>
        <v>93.521048765238149</v>
      </c>
      <c r="O8" s="20" t="s">
        <v>207</v>
      </c>
      <c r="P8" s="70">
        <f>_xlfn.T.DIST(P7,M6-1,TRUE)*2</f>
        <v>0.26973589884432797</v>
      </c>
      <c r="R8" s="118"/>
    </row>
    <row r="9" spans="2:18" x14ac:dyDescent="0.2">
      <c r="B9" s="8">
        <v>334</v>
      </c>
      <c r="D9" s="20"/>
      <c r="E9" s="37"/>
      <c r="F9" s="37"/>
      <c r="G9" s="37"/>
      <c r="R9" s="118"/>
    </row>
    <row r="10" spans="2:18" x14ac:dyDescent="0.2">
      <c r="B10" s="8">
        <v>252</v>
      </c>
      <c r="D10" s="20"/>
      <c r="E10" s="22"/>
      <c r="F10" s="22"/>
      <c r="G10" s="22"/>
      <c r="R10" s="118"/>
    </row>
    <row r="11" spans="2:18" x14ac:dyDescent="0.2">
      <c r="B11" s="8">
        <v>209</v>
      </c>
      <c r="D11" s="20"/>
      <c r="E11" s="22"/>
      <c r="F11" s="22"/>
      <c r="G11" s="22"/>
      <c r="R11" s="118"/>
    </row>
    <row r="12" spans="2:18" x14ac:dyDescent="0.2">
      <c r="B12" s="8">
        <v>462</v>
      </c>
    </row>
    <row r="13" spans="2:18" x14ac:dyDescent="0.2">
      <c r="B13" s="8">
        <v>342</v>
      </c>
    </row>
    <row r="14" spans="2:18" x14ac:dyDescent="0.2">
      <c r="B14" s="8">
        <v>347</v>
      </c>
    </row>
    <row r="15" spans="2:18" x14ac:dyDescent="0.2">
      <c r="B15" s="8">
        <v>313</v>
      </c>
    </row>
    <row r="16" spans="2:18" x14ac:dyDescent="0.2">
      <c r="B16" s="8">
        <v>232</v>
      </c>
    </row>
    <row r="17" spans="2:2" x14ac:dyDescent="0.2">
      <c r="B17" s="8">
        <v>163</v>
      </c>
    </row>
    <row r="18" spans="2:2" x14ac:dyDescent="0.2">
      <c r="B18" s="8">
        <v>119</v>
      </c>
    </row>
    <row r="19" spans="2:2" x14ac:dyDescent="0.2">
      <c r="B19" s="8">
        <v>304</v>
      </c>
    </row>
    <row r="20" spans="2:2" x14ac:dyDescent="0.2">
      <c r="B20" s="8">
        <v>211</v>
      </c>
    </row>
    <row r="21" spans="2:2" x14ac:dyDescent="0.2">
      <c r="B21" s="8">
        <v>286</v>
      </c>
    </row>
    <row r="22" spans="2:2" x14ac:dyDescent="0.2">
      <c r="B22" s="8">
        <v>122</v>
      </c>
    </row>
    <row r="23" spans="2:2" x14ac:dyDescent="0.2">
      <c r="B23" s="8">
        <v>443</v>
      </c>
    </row>
    <row r="24" spans="2:2" x14ac:dyDescent="0.2">
      <c r="B24" s="8">
        <v>366</v>
      </c>
    </row>
    <row r="25" spans="2:2" x14ac:dyDescent="0.2">
      <c r="B25" s="8">
        <v>244</v>
      </c>
    </row>
    <row r="26" spans="2:2" x14ac:dyDescent="0.2">
      <c r="B26" s="8">
        <v>241</v>
      </c>
    </row>
    <row r="27" spans="2:2" x14ac:dyDescent="0.2">
      <c r="B27" s="8">
        <v>237</v>
      </c>
    </row>
    <row r="28" spans="2:2" x14ac:dyDescent="0.2">
      <c r="B28" s="8">
        <v>122</v>
      </c>
    </row>
    <row r="29" spans="2:2" x14ac:dyDescent="0.2">
      <c r="B29" s="8">
        <v>129</v>
      </c>
    </row>
    <row r="30" spans="2:2" x14ac:dyDescent="0.2">
      <c r="B30" s="8">
        <v>236</v>
      </c>
    </row>
    <row r="31" spans="2:2" x14ac:dyDescent="0.2">
      <c r="B31" s="8">
        <v>251</v>
      </c>
    </row>
    <row r="32" spans="2:2" x14ac:dyDescent="0.2">
      <c r="B32" s="8">
        <v>283</v>
      </c>
    </row>
    <row r="33" spans="2:2" x14ac:dyDescent="0.2">
      <c r="B33" s="8">
        <v>225</v>
      </c>
    </row>
    <row r="34" spans="2:2" x14ac:dyDescent="0.2">
      <c r="B34" s="8">
        <v>102</v>
      </c>
    </row>
    <row r="35" spans="2:2" x14ac:dyDescent="0.2">
      <c r="B35" s="8">
        <v>180</v>
      </c>
    </row>
    <row r="36" spans="2:2" x14ac:dyDescent="0.2">
      <c r="B36" s="8">
        <v>247</v>
      </c>
    </row>
    <row r="37" spans="2:2" x14ac:dyDescent="0.2">
      <c r="B37" s="8">
        <v>343</v>
      </c>
    </row>
    <row r="38" spans="2:2" x14ac:dyDescent="0.2">
      <c r="B38" s="8">
        <v>283</v>
      </c>
    </row>
    <row r="39" spans="2:2" x14ac:dyDescent="0.2">
      <c r="B39" s="8">
        <v>253</v>
      </c>
    </row>
    <row r="40" spans="2:2" x14ac:dyDescent="0.2">
      <c r="B40" s="8">
        <v>263</v>
      </c>
    </row>
    <row r="41" spans="2:2" x14ac:dyDescent="0.2">
      <c r="B41" s="8">
        <v>291</v>
      </c>
    </row>
    <row r="42" spans="2:2" x14ac:dyDescent="0.2">
      <c r="B42" s="8">
        <v>368</v>
      </c>
    </row>
    <row r="43" spans="2:2" x14ac:dyDescent="0.2">
      <c r="B43" s="8">
        <v>206</v>
      </c>
    </row>
    <row r="44" spans="2:2" x14ac:dyDescent="0.2">
      <c r="B44" s="8">
        <v>231</v>
      </c>
    </row>
    <row r="45" spans="2:2" x14ac:dyDescent="0.2">
      <c r="B45" s="8">
        <v>389</v>
      </c>
    </row>
    <row r="46" spans="2:2" x14ac:dyDescent="0.2">
      <c r="B46" s="8">
        <v>396</v>
      </c>
    </row>
    <row r="47" spans="2:2" x14ac:dyDescent="0.2">
      <c r="B47" s="8">
        <v>339</v>
      </c>
    </row>
    <row r="48" spans="2:2" x14ac:dyDescent="0.2">
      <c r="B48" s="8">
        <v>286</v>
      </c>
    </row>
    <row r="49" spans="2:2" x14ac:dyDescent="0.2">
      <c r="B49" s="8">
        <v>146</v>
      </c>
    </row>
    <row r="50" spans="2:2" x14ac:dyDescent="0.2">
      <c r="B50" s="8">
        <v>315</v>
      </c>
    </row>
    <row r="51" spans="2:2" x14ac:dyDescent="0.2">
      <c r="B51" s="8">
        <v>183</v>
      </c>
    </row>
    <row r="52" spans="2:2" x14ac:dyDescent="0.2">
      <c r="B52" s="8">
        <v>481</v>
      </c>
    </row>
    <row r="53" spans="2:2" x14ac:dyDescent="0.2">
      <c r="B53" s="8">
        <v>349</v>
      </c>
    </row>
    <row r="54" spans="2:2" x14ac:dyDescent="0.2">
      <c r="B54" s="8">
        <v>225</v>
      </c>
    </row>
    <row r="55" spans="2:2" x14ac:dyDescent="0.2">
      <c r="B55" s="8">
        <v>217</v>
      </c>
    </row>
    <row r="56" spans="2:2" x14ac:dyDescent="0.2">
      <c r="B56" s="8">
        <v>353</v>
      </c>
    </row>
    <row r="57" spans="2:2" x14ac:dyDescent="0.2">
      <c r="B57" s="8">
        <v>314</v>
      </c>
    </row>
    <row r="58" spans="2:2" x14ac:dyDescent="0.2">
      <c r="B58" s="8">
        <v>247</v>
      </c>
    </row>
    <row r="59" spans="2:2" x14ac:dyDescent="0.2">
      <c r="B59" s="8">
        <v>410</v>
      </c>
    </row>
    <row r="60" spans="2:2" x14ac:dyDescent="0.2">
      <c r="B60" s="8">
        <v>395</v>
      </c>
    </row>
    <row r="61" spans="2:2" x14ac:dyDescent="0.2">
      <c r="B61" s="8">
        <v>416</v>
      </c>
    </row>
    <row r="62" spans="2:2" x14ac:dyDescent="0.2">
      <c r="B62" s="8">
        <v>342</v>
      </c>
    </row>
    <row r="63" spans="2:2" x14ac:dyDescent="0.2">
      <c r="B63" s="8">
        <v>446</v>
      </c>
    </row>
    <row r="64" spans="2:2" x14ac:dyDescent="0.2">
      <c r="B64" s="8">
        <v>477</v>
      </c>
    </row>
    <row r="65" spans="2:2" x14ac:dyDescent="0.2">
      <c r="B65" s="8">
        <v>444</v>
      </c>
    </row>
    <row r="66" spans="2:2" x14ac:dyDescent="0.2">
      <c r="B66" s="8">
        <v>351</v>
      </c>
    </row>
    <row r="67" spans="2:2" x14ac:dyDescent="0.2">
      <c r="B67" s="8">
        <v>165</v>
      </c>
    </row>
    <row r="68" spans="2:2" x14ac:dyDescent="0.2">
      <c r="B68" s="8">
        <v>317</v>
      </c>
    </row>
    <row r="69" spans="2:2" x14ac:dyDescent="0.2">
      <c r="B69" s="8">
        <v>250</v>
      </c>
    </row>
    <row r="70" spans="2:2" x14ac:dyDescent="0.2">
      <c r="B70" s="8">
        <v>217</v>
      </c>
    </row>
    <row r="71" spans="2:2" x14ac:dyDescent="0.2">
      <c r="B71" s="8">
        <v>138</v>
      </c>
    </row>
    <row r="72" spans="2:2" x14ac:dyDescent="0.2">
      <c r="B72" s="8">
        <v>302</v>
      </c>
    </row>
    <row r="73" spans="2:2" x14ac:dyDescent="0.2">
      <c r="B73" s="8">
        <v>311</v>
      </c>
    </row>
    <row r="74" spans="2:2" x14ac:dyDescent="0.2">
      <c r="B74" s="8">
        <v>373</v>
      </c>
    </row>
    <row r="75" spans="2:2" x14ac:dyDescent="0.2">
      <c r="B75" s="8">
        <v>196</v>
      </c>
    </row>
    <row r="76" spans="2:2" x14ac:dyDescent="0.2">
      <c r="B76" s="8">
        <v>306</v>
      </c>
    </row>
    <row r="77" spans="2:2" x14ac:dyDescent="0.2">
      <c r="B77" s="8">
        <v>302</v>
      </c>
    </row>
    <row r="78" spans="2:2" x14ac:dyDescent="0.2">
      <c r="B78" s="8">
        <v>278</v>
      </c>
    </row>
    <row r="79" spans="2:2" x14ac:dyDescent="0.2">
      <c r="B79" s="8">
        <v>429</v>
      </c>
    </row>
    <row r="80" spans="2:2" x14ac:dyDescent="0.2">
      <c r="B80" s="8">
        <v>338</v>
      </c>
    </row>
    <row r="81" spans="2:2" x14ac:dyDescent="0.2">
      <c r="B81" s="8">
        <v>261</v>
      </c>
    </row>
    <row r="82" spans="2:2" x14ac:dyDescent="0.2">
      <c r="B82" s="8">
        <v>256</v>
      </c>
    </row>
    <row r="83" spans="2:2" x14ac:dyDescent="0.2">
      <c r="B83" s="8">
        <v>183</v>
      </c>
    </row>
    <row r="84" spans="2:2" x14ac:dyDescent="0.2">
      <c r="B84" s="8">
        <v>274</v>
      </c>
    </row>
    <row r="85" spans="2:2" x14ac:dyDescent="0.2">
      <c r="B85" s="8">
        <v>182</v>
      </c>
    </row>
    <row r="86" spans="2:2" x14ac:dyDescent="0.2">
      <c r="B86" s="8">
        <v>183</v>
      </c>
    </row>
    <row r="87" spans="2:2" x14ac:dyDescent="0.2">
      <c r="B87" s="8">
        <v>309</v>
      </c>
    </row>
    <row r="88" spans="2:2" x14ac:dyDescent="0.2">
      <c r="B88" s="8">
        <v>178</v>
      </c>
    </row>
    <row r="89" spans="2:2" x14ac:dyDescent="0.2">
      <c r="B89" s="8">
        <v>458</v>
      </c>
    </row>
    <row r="90" spans="2:2" x14ac:dyDescent="0.2">
      <c r="B90" s="8">
        <v>234</v>
      </c>
    </row>
    <row r="91" spans="2:2" x14ac:dyDescent="0.2">
      <c r="B91" s="8">
        <v>306</v>
      </c>
    </row>
    <row r="92" spans="2:2" x14ac:dyDescent="0.2">
      <c r="B92" s="8">
        <v>400</v>
      </c>
    </row>
    <row r="93" spans="2:2" x14ac:dyDescent="0.2">
      <c r="B93" s="8">
        <v>337</v>
      </c>
    </row>
    <row r="94" spans="2:2" x14ac:dyDescent="0.2">
      <c r="B94" s="8">
        <v>325</v>
      </c>
    </row>
    <row r="95" spans="2:2" x14ac:dyDescent="0.2">
      <c r="B95" s="8">
        <v>329</v>
      </c>
    </row>
    <row r="96" spans="2:2" x14ac:dyDescent="0.2">
      <c r="B96" s="8">
        <v>369</v>
      </c>
    </row>
    <row r="97" spans="2:2" x14ac:dyDescent="0.2">
      <c r="B97" s="8">
        <v>457</v>
      </c>
    </row>
    <row r="98" spans="2:2" x14ac:dyDescent="0.2">
      <c r="B98" s="8">
        <v>421</v>
      </c>
    </row>
    <row r="99" spans="2:2" x14ac:dyDescent="0.2">
      <c r="B99" s="8">
        <v>282</v>
      </c>
    </row>
    <row r="100" spans="2:2" x14ac:dyDescent="0.2">
      <c r="B100" s="8">
        <v>256</v>
      </c>
    </row>
  </sheetData>
  <mergeCells count="5">
    <mergeCell ref="D5:G5"/>
    <mergeCell ref="I5:J5"/>
    <mergeCell ref="L5:M5"/>
    <mergeCell ref="O5:P5"/>
    <mergeCell ref="R6:R11"/>
  </mergeCells>
  <pageMargins left="0.7" right="0.7" top="0.75" bottom="0.75" header="0.3" footer="0.3"/>
  <pageSetup orientation="portrait" r:id="rId1"/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A3D78-7BE7-4019-9751-28F22D5586EB}">
  <sheetPr codeName="Sheet42">
    <tabColor theme="7" tint="0.59999389629810485"/>
  </sheetPr>
  <dimension ref="B1:R100"/>
  <sheetViews>
    <sheetView showGridLines="0" workbookViewId="0">
      <selection activeCell="P8" sqref="P8"/>
    </sheetView>
  </sheetViews>
  <sheetFormatPr baseColWidth="10" defaultColWidth="8.83203125" defaultRowHeight="15" x14ac:dyDescent="0.2"/>
  <cols>
    <col min="1" max="1" width="2.83203125" customWidth="1"/>
    <col min="2" max="2" width="12.83203125" customWidth="1"/>
    <col min="4" max="4" width="6.5" customWidth="1"/>
    <col min="5" max="6" width="2.83203125" customWidth="1"/>
    <col min="9" max="9" width="11.5" customWidth="1"/>
    <col min="12" max="12" width="12.1640625" customWidth="1"/>
    <col min="13" max="13" width="11.5" customWidth="1"/>
    <col min="15" max="15" width="15.6640625" bestFit="1" customWidth="1"/>
    <col min="18" max="18" width="57.1640625" customWidth="1"/>
  </cols>
  <sheetData>
    <row r="1" spans="2:18" ht="25.5" customHeight="1" x14ac:dyDescent="0.25">
      <c r="B1" s="18" t="s">
        <v>310</v>
      </c>
    </row>
    <row r="2" spans="2:18" ht="15" customHeight="1" x14ac:dyDescent="0.2">
      <c r="B2" s="30" t="s">
        <v>206</v>
      </c>
    </row>
    <row r="3" spans="2:18" ht="18" customHeight="1" x14ac:dyDescent="0.2"/>
    <row r="4" spans="2:18" x14ac:dyDescent="0.2">
      <c r="D4" s="3"/>
      <c r="L4" s="3" t="s">
        <v>54</v>
      </c>
      <c r="O4" s="3" t="s">
        <v>54</v>
      </c>
    </row>
    <row r="5" spans="2:18" x14ac:dyDescent="0.2">
      <c r="B5" s="7" t="s">
        <v>77</v>
      </c>
      <c r="D5" s="117" t="s">
        <v>199</v>
      </c>
      <c r="E5" s="117"/>
      <c r="F5" s="117"/>
      <c r="G5" s="117"/>
      <c r="I5" s="117" t="s">
        <v>201</v>
      </c>
      <c r="J5" s="117"/>
      <c r="L5" s="115" t="s">
        <v>139</v>
      </c>
      <c r="M5" s="115"/>
      <c r="O5" s="115" t="s">
        <v>204</v>
      </c>
      <c r="P5" s="115"/>
      <c r="R5" s="50" t="s">
        <v>203</v>
      </c>
    </row>
    <row r="6" spans="2:18" x14ac:dyDescent="0.2">
      <c r="B6" s="8">
        <v>90.2</v>
      </c>
      <c r="D6" s="20" t="s">
        <v>195</v>
      </c>
      <c r="E6" s="89" t="s">
        <v>197</v>
      </c>
      <c r="F6" s="89" t="s">
        <v>198</v>
      </c>
      <c r="G6" s="90">
        <v>80</v>
      </c>
      <c r="I6" s="20" t="s">
        <v>143</v>
      </c>
      <c r="J6" s="71">
        <v>0.2</v>
      </c>
      <c r="L6" s="20" t="s">
        <v>71</v>
      </c>
      <c r="M6" s="71">
        <f>COUNT(B6:B100)</f>
        <v>95</v>
      </c>
      <c r="O6" s="20" t="s">
        <v>146</v>
      </c>
      <c r="P6" s="75">
        <f>M8/SQRT(M6)</f>
        <v>0.63310867376603175</v>
      </c>
      <c r="R6" s="118" t="s">
        <v>342</v>
      </c>
    </row>
    <row r="7" spans="2:18" x14ac:dyDescent="0.2">
      <c r="B7" s="8">
        <v>92.8</v>
      </c>
      <c r="D7" s="20" t="s">
        <v>196</v>
      </c>
      <c r="E7" s="89" t="s">
        <v>197</v>
      </c>
      <c r="F7" s="89" t="s">
        <v>200</v>
      </c>
      <c r="G7" s="90">
        <v>80</v>
      </c>
      <c r="I7" s="20"/>
      <c r="J7" s="1"/>
      <c r="L7" s="20" t="s">
        <v>46</v>
      </c>
      <c r="M7" s="72">
        <f>AVERAGE(B6:B100)</f>
        <v>80.169473684210516</v>
      </c>
      <c r="O7" s="20" t="s">
        <v>202</v>
      </c>
      <c r="P7" s="91">
        <f>(M7-G6)/P6</f>
        <v>0.26768498242553784</v>
      </c>
      <c r="R7" s="118"/>
    </row>
    <row r="8" spans="2:18" x14ac:dyDescent="0.2">
      <c r="B8" s="8">
        <v>68.7</v>
      </c>
      <c r="D8" s="20"/>
      <c r="E8" s="36"/>
      <c r="F8" s="36"/>
      <c r="G8" s="36"/>
      <c r="L8" s="20" t="s">
        <v>70</v>
      </c>
      <c r="M8" s="75">
        <f>_xlfn.STDEV.S(B6:B100)</f>
        <v>6.1707800411122609</v>
      </c>
      <c r="O8" s="20" t="s">
        <v>207</v>
      </c>
      <c r="P8" s="70">
        <f>(1-_xlfn.T.DIST(P7,M6-1,TRUE))*2</f>
        <v>0.78952829198210606</v>
      </c>
      <c r="R8" s="118"/>
    </row>
    <row r="9" spans="2:18" x14ac:dyDescent="0.2">
      <c r="B9" s="8">
        <v>80.7</v>
      </c>
      <c r="D9" s="20"/>
      <c r="E9" s="37"/>
      <c r="F9" s="37"/>
      <c r="G9" s="37"/>
      <c r="R9" s="118"/>
    </row>
    <row r="10" spans="2:18" x14ac:dyDescent="0.2">
      <c r="B10" s="8">
        <v>74.900000000000006</v>
      </c>
      <c r="D10" s="20"/>
      <c r="E10" s="22"/>
      <c r="F10" s="22"/>
      <c r="G10" s="22"/>
      <c r="R10" s="118"/>
    </row>
    <row r="11" spans="2:18" x14ac:dyDescent="0.2">
      <c r="B11" s="8">
        <v>80.7</v>
      </c>
      <c r="D11" s="20"/>
      <c r="E11" s="22"/>
      <c r="F11" s="22"/>
      <c r="G11" s="22"/>
      <c r="R11" s="118"/>
    </row>
    <row r="12" spans="2:18" x14ac:dyDescent="0.2">
      <c r="B12" s="8">
        <v>83.3</v>
      </c>
    </row>
    <row r="13" spans="2:18" x14ac:dyDescent="0.2">
      <c r="B13" s="8">
        <v>88.7</v>
      </c>
    </row>
    <row r="14" spans="2:18" x14ac:dyDescent="0.2">
      <c r="B14" s="8">
        <v>75.400000000000006</v>
      </c>
    </row>
    <row r="15" spans="2:18" x14ac:dyDescent="0.2">
      <c r="B15" s="8">
        <v>82.1</v>
      </c>
    </row>
    <row r="16" spans="2:18" x14ac:dyDescent="0.2">
      <c r="B16" s="8">
        <v>87.5</v>
      </c>
    </row>
    <row r="17" spans="2:2" x14ac:dyDescent="0.2">
      <c r="B17" s="8">
        <v>66.900000000000006</v>
      </c>
    </row>
    <row r="18" spans="2:2" x14ac:dyDescent="0.2">
      <c r="B18" s="8">
        <v>71.3</v>
      </c>
    </row>
    <row r="19" spans="2:2" x14ac:dyDescent="0.2">
      <c r="B19" s="8">
        <v>76.8</v>
      </c>
    </row>
    <row r="20" spans="2:2" x14ac:dyDescent="0.2">
      <c r="B20" s="8">
        <v>72.3</v>
      </c>
    </row>
    <row r="21" spans="2:2" x14ac:dyDescent="0.2">
      <c r="B21" s="8">
        <v>72.400000000000006</v>
      </c>
    </row>
    <row r="22" spans="2:2" x14ac:dyDescent="0.2">
      <c r="B22" s="8">
        <v>72</v>
      </c>
    </row>
    <row r="23" spans="2:2" x14ac:dyDescent="0.2">
      <c r="B23" s="8">
        <v>81</v>
      </c>
    </row>
    <row r="24" spans="2:2" x14ac:dyDescent="0.2">
      <c r="B24" s="8">
        <v>96.1</v>
      </c>
    </row>
    <row r="25" spans="2:2" x14ac:dyDescent="0.2">
      <c r="B25" s="8">
        <v>76.7</v>
      </c>
    </row>
    <row r="26" spans="2:2" x14ac:dyDescent="0.2">
      <c r="B26" s="8">
        <v>80.3</v>
      </c>
    </row>
    <row r="27" spans="2:2" x14ac:dyDescent="0.2">
      <c r="B27" s="8">
        <v>77.8</v>
      </c>
    </row>
    <row r="28" spans="2:2" x14ac:dyDescent="0.2">
      <c r="B28" s="8">
        <v>62.6</v>
      </c>
    </row>
    <row r="29" spans="2:2" x14ac:dyDescent="0.2">
      <c r="B29" s="8">
        <v>80.2</v>
      </c>
    </row>
    <row r="30" spans="2:2" x14ac:dyDescent="0.2">
      <c r="B30" s="8">
        <v>79.099999999999994</v>
      </c>
    </row>
    <row r="31" spans="2:2" x14ac:dyDescent="0.2">
      <c r="B31" s="8">
        <v>77.8</v>
      </c>
    </row>
    <row r="32" spans="2:2" x14ac:dyDescent="0.2">
      <c r="B32" s="8">
        <v>75.099999999999994</v>
      </c>
    </row>
    <row r="33" spans="2:2" x14ac:dyDescent="0.2">
      <c r="B33" s="8">
        <v>82.2</v>
      </c>
    </row>
    <row r="34" spans="2:2" x14ac:dyDescent="0.2">
      <c r="B34" s="8">
        <v>70.5</v>
      </c>
    </row>
    <row r="35" spans="2:2" x14ac:dyDescent="0.2">
      <c r="B35" s="8">
        <v>70.8</v>
      </c>
    </row>
    <row r="36" spans="2:2" x14ac:dyDescent="0.2">
      <c r="B36" s="8">
        <v>87.5</v>
      </c>
    </row>
    <row r="37" spans="2:2" x14ac:dyDescent="0.2">
      <c r="B37" s="8">
        <v>79.5</v>
      </c>
    </row>
    <row r="38" spans="2:2" x14ac:dyDescent="0.2">
      <c r="B38" s="8">
        <v>80.8</v>
      </c>
    </row>
    <row r="39" spans="2:2" x14ac:dyDescent="0.2">
      <c r="B39" s="8">
        <v>79.599999999999994</v>
      </c>
    </row>
    <row r="40" spans="2:2" x14ac:dyDescent="0.2">
      <c r="B40" s="8">
        <v>88.9</v>
      </c>
    </row>
    <row r="41" spans="2:2" x14ac:dyDescent="0.2">
      <c r="B41" s="8">
        <v>85.9</v>
      </c>
    </row>
    <row r="42" spans="2:2" x14ac:dyDescent="0.2">
      <c r="B42" s="8">
        <v>82.3</v>
      </c>
    </row>
    <row r="43" spans="2:2" x14ac:dyDescent="0.2">
      <c r="B43" s="8">
        <v>76.7</v>
      </c>
    </row>
    <row r="44" spans="2:2" x14ac:dyDescent="0.2">
      <c r="B44" s="8">
        <v>79.900000000000006</v>
      </c>
    </row>
    <row r="45" spans="2:2" x14ac:dyDescent="0.2">
      <c r="B45" s="8">
        <v>86.2</v>
      </c>
    </row>
    <row r="46" spans="2:2" x14ac:dyDescent="0.2">
      <c r="B46" s="8">
        <v>79.2</v>
      </c>
    </row>
    <row r="47" spans="2:2" x14ac:dyDescent="0.2">
      <c r="B47" s="8">
        <v>83.4</v>
      </c>
    </row>
    <row r="48" spans="2:2" x14ac:dyDescent="0.2">
      <c r="B48" s="8">
        <v>85.2</v>
      </c>
    </row>
    <row r="49" spans="2:2" x14ac:dyDescent="0.2">
      <c r="B49" s="8">
        <v>77.8</v>
      </c>
    </row>
    <row r="50" spans="2:2" x14ac:dyDescent="0.2">
      <c r="B50" s="8">
        <v>80.2</v>
      </c>
    </row>
    <row r="51" spans="2:2" x14ac:dyDescent="0.2">
      <c r="B51" s="8">
        <v>71</v>
      </c>
    </row>
    <row r="52" spans="2:2" x14ac:dyDescent="0.2">
      <c r="B52" s="8">
        <v>87.2</v>
      </c>
    </row>
    <row r="53" spans="2:2" x14ac:dyDescent="0.2">
      <c r="B53" s="8">
        <v>82.9</v>
      </c>
    </row>
    <row r="54" spans="2:2" x14ac:dyDescent="0.2">
      <c r="B54" s="8">
        <v>73.5</v>
      </c>
    </row>
    <row r="55" spans="2:2" x14ac:dyDescent="0.2">
      <c r="B55" s="8">
        <v>74.599999999999994</v>
      </c>
    </row>
    <row r="56" spans="2:2" x14ac:dyDescent="0.2">
      <c r="B56" s="8">
        <v>75.099999999999994</v>
      </c>
    </row>
    <row r="57" spans="2:2" x14ac:dyDescent="0.2">
      <c r="B57" s="8">
        <v>85.1</v>
      </c>
    </row>
    <row r="58" spans="2:2" x14ac:dyDescent="0.2">
      <c r="B58" s="8">
        <v>74.900000000000006</v>
      </c>
    </row>
    <row r="59" spans="2:2" x14ac:dyDescent="0.2">
      <c r="B59" s="8">
        <v>84.6</v>
      </c>
    </row>
    <row r="60" spans="2:2" x14ac:dyDescent="0.2">
      <c r="B60" s="8">
        <v>81.7</v>
      </c>
    </row>
    <row r="61" spans="2:2" x14ac:dyDescent="0.2">
      <c r="B61" s="8">
        <v>81.400000000000006</v>
      </c>
    </row>
    <row r="62" spans="2:2" x14ac:dyDescent="0.2">
      <c r="B62" s="8">
        <v>83.8</v>
      </c>
    </row>
    <row r="63" spans="2:2" x14ac:dyDescent="0.2">
      <c r="B63" s="8">
        <v>88.5</v>
      </c>
    </row>
    <row r="64" spans="2:2" x14ac:dyDescent="0.2">
      <c r="B64" s="8">
        <v>84.9</v>
      </c>
    </row>
    <row r="65" spans="2:2" x14ac:dyDescent="0.2">
      <c r="B65" s="8">
        <v>84.3</v>
      </c>
    </row>
    <row r="66" spans="2:2" x14ac:dyDescent="0.2">
      <c r="B66" s="8">
        <v>78.2</v>
      </c>
    </row>
    <row r="67" spans="2:2" x14ac:dyDescent="0.2">
      <c r="B67" s="8">
        <v>80</v>
      </c>
    </row>
    <row r="68" spans="2:2" x14ac:dyDescent="0.2">
      <c r="B68" s="8">
        <v>74.8</v>
      </c>
    </row>
    <row r="69" spans="2:2" x14ac:dyDescent="0.2">
      <c r="B69" s="8">
        <v>78.5</v>
      </c>
    </row>
    <row r="70" spans="2:2" x14ac:dyDescent="0.2">
      <c r="B70" s="8">
        <v>71.8</v>
      </c>
    </row>
    <row r="71" spans="2:2" x14ac:dyDescent="0.2">
      <c r="B71" s="8">
        <v>69.900000000000006</v>
      </c>
    </row>
    <row r="72" spans="2:2" x14ac:dyDescent="0.2">
      <c r="B72" s="8">
        <v>82.7</v>
      </c>
    </row>
    <row r="73" spans="2:2" x14ac:dyDescent="0.2">
      <c r="B73" s="8">
        <v>74</v>
      </c>
    </row>
    <row r="74" spans="2:2" x14ac:dyDescent="0.2">
      <c r="B74" s="8">
        <v>84</v>
      </c>
    </row>
    <row r="75" spans="2:2" x14ac:dyDescent="0.2">
      <c r="B75" s="8">
        <v>84.7</v>
      </c>
    </row>
    <row r="76" spans="2:2" x14ac:dyDescent="0.2">
      <c r="B76" s="8">
        <v>78.2</v>
      </c>
    </row>
    <row r="77" spans="2:2" x14ac:dyDescent="0.2">
      <c r="B77" s="8">
        <v>85</v>
      </c>
    </row>
    <row r="78" spans="2:2" x14ac:dyDescent="0.2">
      <c r="B78" s="8">
        <v>80.099999999999994</v>
      </c>
    </row>
    <row r="79" spans="2:2" x14ac:dyDescent="0.2">
      <c r="B79" s="8">
        <v>85.3</v>
      </c>
    </row>
    <row r="80" spans="2:2" x14ac:dyDescent="0.2">
      <c r="B80" s="8">
        <v>79.7</v>
      </c>
    </row>
    <row r="81" spans="2:2" x14ac:dyDescent="0.2">
      <c r="B81" s="8">
        <v>79.599999999999994</v>
      </c>
    </row>
    <row r="82" spans="2:2" x14ac:dyDescent="0.2">
      <c r="B82" s="8">
        <v>78.900000000000006</v>
      </c>
    </row>
    <row r="83" spans="2:2" x14ac:dyDescent="0.2">
      <c r="B83" s="8">
        <v>78.5</v>
      </c>
    </row>
    <row r="84" spans="2:2" x14ac:dyDescent="0.2">
      <c r="B84" s="8">
        <v>72</v>
      </c>
    </row>
    <row r="85" spans="2:2" x14ac:dyDescent="0.2">
      <c r="B85" s="8">
        <v>74.2</v>
      </c>
    </row>
    <row r="86" spans="2:2" x14ac:dyDescent="0.2">
      <c r="B86" s="8">
        <v>71.7</v>
      </c>
    </row>
    <row r="87" spans="2:2" x14ac:dyDescent="0.2">
      <c r="B87" s="8">
        <v>80.7</v>
      </c>
    </row>
    <row r="88" spans="2:2" x14ac:dyDescent="0.2">
      <c r="B88" s="8">
        <v>84.1</v>
      </c>
    </row>
    <row r="89" spans="2:2" x14ac:dyDescent="0.2">
      <c r="B89" s="8">
        <v>87.4</v>
      </c>
    </row>
    <row r="90" spans="2:2" x14ac:dyDescent="0.2">
      <c r="B90" s="8">
        <v>77.400000000000006</v>
      </c>
    </row>
    <row r="91" spans="2:2" x14ac:dyDescent="0.2">
      <c r="B91" s="8">
        <v>84.7</v>
      </c>
    </row>
    <row r="92" spans="2:2" x14ac:dyDescent="0.2">
      <c r="B92" s="8">
        <v>78.8</v>
      </c>
    </row>
    <row r="93" spans="2:2" x14ac:dyDescent="0.2">
      <c r="B93" s="8">
        <v>92.7</v>
      </c>
    </row>
    <row r="94" spans="2:2" x14ac:dyDescent="0.2">
      <c r="B94" s="8">
        <v>88.8</v>
      </c>
    </row>
    <row r="95" spans="2:2" x14ac:dyDescent="0.2">
      <c r="B95" s="8">
        <v>86.6</v>
      </c>
    </row>
    <row r="96" spans="2:2" x14ac:dyDescent="0.2">
      <c r="B96" s="8">
        <v>77.900000000000006</v>
      </c>
    </row>
    <row r="97" spans="2:2" x14ac:dyDescent="0.2">
      <c r="B97" s="8">
        <v>86.1</v>
      </c>
    </row>
    <row r="98" spans="2:2" x14ac:dyDescent="0.2">
      <c r="B98" s="8">
        <v>89.9</v>
      </c>
    </row>
    <row r="99" spans="2:2" x14ac:dyDescent="0.2">
      <c r="B99" s="8">
        <v>83.1</v>
      </c>
    </row>
    <row r="100" spans="2:2" x14ac:dyDescent="0.2">
      <c r="B100" s="8">
        <v>82.6</v>
      </c>
    </row>
  </sheetData>
  <mergeCells count="5">
    <mergeCell ref="L5:M5"/>
    <mergeCell ref="D5:G5"/>
    <mergeCell ref="I5:J5"/>
    <mergeCell ref="O5:P5"/>
    <mergeCell ref="R6:R11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8FA12EC-BCF3-4B5D-9E88-F612CBF7E477}">
          <x14:formula1>
            <xm:f>Conclusion!$F$6:$F$7</xm:f>
          </x14:formula1>
          <xm:sqref>F6:F7</xm:sqref>
        </x14:dataValidation>
      </x14:dataValidations>
    </ext>
  </extLst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51E04-65D7-4D1D-9945-E8519C173177}">
  <sheetPr codeName="Sheet43">
    <tabColor theme="7" tint="0.79998168889431442"/>
  </sheetPr>
  <dimension ref="B1:V100"/>
  <sheetViews>
    <sheetView showGridLines="0" workbookViewId="0">
      <selection activeCell="Q6" sqref="Q6"/>
    </sheetView>
  </sheetViews>
  <sheetFormatPr baseColWidth="10" defaultColWidth="8.83203125" defaultRowHeight="15" x14ac:dyDescent="0.2"/>
  <cols>
    <col min="1" max="1" width="2.83203125" customWidth="1"/>
    <col min="2" max="2" width="19.33203125" bestFit="1" customWidth="1"/>
    <col min="3" max="3" width="10.33203125" bestFit="1" customWidth="1"/>
    <col min="5" max="5" width="6.5" customWidth="1"/>
    <col min="6" max="7" width="2.83203125" customWidth="1"/>
    <col min="10" max="10" width="11.5" customWidth="1"/>
    <col min="13" max="13" width="12.1640625" customWidth="1"/>
    <col min="14" max="14" width="11.5" customWidth="1"/>
    <col min="16" max="16" width="15.6640625" bestFit="1" customWidth="1"/>
    <col min="19" max="19" width="59" customWidth="1"/>
    <col min="21" max="22" width="0" hidden="1" customWidth="1"/>
  </cols>
  <sheetData>
    <row r="1" spans="2:22" ht="25.5" customHeight="1" x14ac:dyDescent="0.25">
      <c r="B1" s="18" t="s">
        <v>313</v>
      </c>
    </row>
    <row r="2" spans="2:22" ht="15" customHeight="1" x14ac:dyDescent="0.2">
      <c r="B2" s="30" t="s">
        <v>211</v>
      </c>
    </row>
    <row r="3" spans="2:22" ht="18" customHeight="1" x14ac:dyDescent="0.2"/>
    <row r="4" spans="2:22" x14ac:dyDescent="0.2">
      <c r="E4" s="3"/>
      <c r="M4" s="3" t="s">
        <v>54</v>
      </c>
      <c r="P4" s="3" t="s">
        <v>54</v>
      </c>
    </row>
    <row r="5" spans="2:22" x14ac:dyDescent="0.2">
      <c r="B5" s="40" t="s">
        <v>23</v>
      </c>
      <c r="C5" s="41" t="s">
        <v>12</v>
      </c>
      <c r="E5" s="117" t="s">
        <v>199</v>
      </c>
      <c r="F5" s="117"/>
      <c r="G5" s="117"/>
      <c r="H5" s="117"/>
      <c r="J5" s="117" t="s">
        <v>201</v>
      </c>
      <c r="K5" s="117"/>
      <c r="M5" s="115" t="s">
        <v>139</v>
      </c>
      <c r="N5" s="115"/>
      <c r="P5" s="115" t="s">
        <v>204</v>
      </c>
      <c r="Q5" s="115"/>
      <c r="S5" s="50" t="s">
        <v>203</v>
      </c>
      <c r="U5" s="92" t="s">
        <v>209</v>
      </c>
      <c r="V5" t="s">
        <v>210</v>
      </c>
    </row>
    <row r="6" spans="2:22" x14ac:dyDescent="0.2">
      <c r="B6" s="51">
        <v>276</v>
      </c>
      <c r="C6" s="51" t="s">
        <v>13</v>
      </c>
      <c r="E6" s="20" t="s">
        <v>195</v>
      </c>
      <c r="F6" s="89" t="s">
        <v>197</v>
      </c>
      <c r="G6" s="89" t="s">
        <v>209</v>
      </c>
      <c r="H6" s="90">
        <v>300</v>
      </c>
      <c r="J6" s="20" t="s">
        <v>143</v>
      </c>
      <c r="K6" s="71">
        <v>0.15</v>
      </c>
      <c r="M6" s="20" t="s">
        <v>71</v>
      </c>
      <c r="N6" s="71">
        <f>COUNTIF(C6:C100,C42)</f>
        <v>53</v>
      </c>
      <c r="P6" s="20" t="s">
        <v>146</v>
      </c>
      <c r="Q6" s="75">
        <f>N8/SQRT(N6)</f>
        <v>11.879737349258281</v>
      </c>
      <c r="S6" s="118" t="s">
        <v>343</v>
      </c>
      <c r="U6" s="92" t="s">
        <v>311</v>
      </c>
      <c r="V6" t="s">
        <v>312</v>
      </c>
    </row>
    <row r="7" spans="2:22" x14ac:dyDescent="0.2">
      <c r="B7" s="8">
        <v>410</v>
      </c>
      <c r="C7" s="8" t="s">
        <v>14</v>
      </c>
      <c r="E7" s="20" t="s">
        <v>196</v>
      </c>
      <c r="F7" s="89" t="s">
        <v>197</v>
      </c>
      <c r="G7" s="89" t="s">
        <v>210</v>
      </c>
      <c r="H7" s="90">
        <v>300</v>
      </c>
      <c r="J7" s="20"/>
      <c r="K7" s="1"/>
      <c r="M7" s="20" t="s">
        <v>46</v>
      </c>
      <c r="N7" s="72">
        <f>+AVERAGEIFS(B6:B100,C6:C100,C6)</f>
        <v>320.52830188679246</v>
      </c>
      <c r="P7" s="20" t="s">
        <v>202</v>
      </c>
      <c r="Q7" s="91">
        <f>(N7-H6)/Q6</f>
        <v>1.728009743251955</v>
      </c>
      <c r="S7" s="118"/>
    </row>
    <row r="8" spans="2:22" x14ac:dyDescent="0.2">
      <c r="B8" s="8">
        <v>119</v>
      </c>
      <c r="C8" s="8" t="s">
        <v>13</v>
      </c>
      <c r="E8" s="20"/>
      <c r="F8" s="36"/>
      <c r="G8" s="36"/>
      <c r="H8" s="36"/>
      <c r="M8" s="20" t="s">
        <v>70</v>
      </c>
      <c r="N8" s="75" cm="1">
        <f t="array" ref="N8">_xlfn.STDEV.S(IF(C6:C100="Placed",B6:B100))</f>
        <v>86.485793358390339</v>
      </c>
      <c r="P8" s="20" t="s">
        <v>207</v>
      </c>
      <c r="Q8" s="70">
        <f>_xlfn.T.DIST.RT(Q7,N6-1)</f>
        <v>4.4960734951048485E-2</v>
      </c>
      <c r="S8" s="118"/>
    </row>
    <row r="9" spans="2:22" x14ac:dyDescent="0.2">
      <c r="B9" s="8">
        <v>334</v>
      </c>
      <c r="C9" s="8" t="s">
        <v>14</v>
      </c>
      <c r="E9" s="20"/>
      <c r="F9" s="37"/>
      <c r="G9" s="37"/>
      <c r="H9" s="37"/>
      <c r="S9" s="118"/>
    </row>
    <row r="10" spans="2:22" x14ac:dyDescent="0.2">
      <c r="B10" s="8">
        <v>252</v>
      </c>
      <c r="C10" s="8" t="s">
        <v>14</v>
      </c>
      <c r="E10" s="20"/>
      <c r="F10" s="22"/>
      <c r="G10" s="22"/>
      <c r="H10" s="22"/>
      <c r="S10" s="118"/>
    </row>
    <row r="11" spans="2:22" x14ac:dyDescent="0.2">
      <c r="B11" s="8">
        <v>209</v>
      </c>
      <c r="C11" s="8" t="s">
        <v>14</v>
      </c>
      <c r="E11" s="20"/>
      <c r="F11" s="22"/>
      <c r="G11" s="22"/>
      <c r="H11" s="22"/>
      <c r="S11" s="118"/>
    </row>
    <row r="12" spans="2:22" x14ac:dyDescent="0.2">
      <c r="B12" s="8">
        <v>462</v>
      </c>
      <c r="C12" s="8" t="s">
        <v>13</v>
      </c>
    </row>
    <row r="13" spans="2:22" x14ac:dyDescent="0.2">
      <c r="B13" s="8">
        <v>342</v>
      </c>
      <c r="C13" s="8" t="s">
        <v>13</v>
      </c>
    </row>
    <row r="14" spans="2:22" x14ac:dyDescent="0.2">
      <c r="B14" s="8">
        <v>347</v>
      </c>
      <c r="C14" s="8" t="s">
        <v>13</v>
      </c>
    </row>
    <row r="15" spans="2:22" x14ac:dyDescent="0.2">
      <c r="B15" s="8">
        <v>313</v>
      </c>
      <c r="C15" s="8" t="s">
        <v>13</v>
      </c>
    </row>
    <row r="16" spans="2:22" x14ac:dyDescent="0.2">
      <c r="B16" s="8">
        <v>232</v>
      </c>
      <c r="C16" s="8" t="s">
        <v>14</v>
      </c>
    </row>
    <row r="17" spans="2:3" x14ac:dyDescent="0.2">
      <c r="B17" s="8">
        <v>163</v>
      </c>
      <c r="C17" s="8" t="s">
        <v>13</v>
      </c>
    </row>
    <row r="18" spans="2:3" x14ac:dyDescent="0.2">
      <c r="B18" s="8">
        <v>119</v>
      </c>
      <c r="C18" s="8" t="s">
        <v>14</v>
      </c>
    </row>
    <row r="19" spans="2:3" x14ac:dyDescent="0.2">
      <c r="B19" s="8">
        <v>304</v>
      </c>
      <c r="C19" s="8" t="s">
        <v>13</v>
      </c>
    </row>
    <row r="20" spans="2:3" x14ac:dyDescent="0.2">
      <c r="B20" s="8">
        <v>211</v>
      </c>
      <c r="C20" s="8" t="s">
        <v>13</v>
      </c>
    </row>
    <row r="21" spans="2:3" x14ac:dyDescent="0.2">
      <c r="B21" s="8">
        <v>286</v>
      </c>
      <c r="C21" s="8" t="s">
        <v>13</v>
      </c>
    </row>
    <row r="22" spans="2:3" x14ac:dyDescent="0.2">
      <c r="B22" s="8">
        <v>122</v>
      </c>
      <c r="C22" s="8" t="s">
        <v>14</v>
      </c>
    </row>
    <row r="23" spans="2:3" x14ac:dyDescent="0.2">
      <c r="B23" s="8">
        <v>443</v>
      </c>
      <c r="C23" s="8" t="s">
        <v>13</v>
      </c>
    </row>
    <row r="24" spans="2:3" x14ac:dyDescent="0.2">
      <c r="B24" s="8">
        <v>366</v>
      </c>
      <c r="C24" s="8" t="s">
        <v>14</v>
      </c>
    </row>
    <row r="25" spans="2:3" x14ac:dyDescent="0.2">
      <c r="B25" s="8">
        <v>244</v>
      </c>
      <c r="C25" s="8" t="s">
        <v>14</v>
      </c>
    </row>
    <row r="26" spans="2:3" x14ac:dyDescent="0.2">
      <c r="B26" s="8">
        <v>241</v>
      </c>
      <c r="C26" s="8" t="s">
        <v>14</v>
      </c>
    </row>
    <row r="27" spans="2:3" x14ac:dyDescent="0.2">
      <c r="B27" s="8">
        <v>237</v>
      </c>
      <c r="C27" s="8" t="s">
        <v>13</v>
      </c>
    </row>
    <row r="28" spans="2:3" x14ac:dyDescent="0.2">
      <c r="B28" s="8">
        <v>122</v>
      </c>
      <c r="C28" s="8" t="s">
        <v>14</v>
      </c>
    </row>
    <row r="29" spans="2:3" x14ac:dyDescent="0.2">
      <c r="B29" s="8">
        <v>129</v>
      </c>
      <c r="C29" s="8" t="s">
        <v>14</v>
      </c>
    </row>
    <row r="30" spans="2:3" x14ac:dyDescent="0.2">
      <c r="B30" s="8">
        <v>236</v>
      </c>
      <c r="C30" s="8" t="s">
        <v>13</v>
      </c>
    </row>
    <row r="31" spans="2:3" x14ac:dyDescent="0.2">
      <c r="B31" s="8">
        <v>251</v>
      </c>
      <c r="C31" s="8" t="s">
        <v>13</v>
      </c>
    </row>
    <row r="32" spans="2:3" x14ac:dyDescent="0.2">
      <c r="B32" s="8">
        <v>283</v>
      </c>
      <c r="C32" s="8" t="s">
        <v>13</v>
      </c>
    </row>
    <row r="33" spans="2:3" x14ac:dyDescent="0.2">
      <c r="B33" s="8">
        <v>225</v>
      </c>
      <c r="C33" s="8" t="s">
        <v>14</v>
      </c>
    </row>
    <row r="34" spans="2:3" x14ac:dyDescent="0.2">
      <c r="B34" s="8">
        <v>102</v>
      </c>
      <c r="C34" s="8" t="s">
        <v>14</v>
      </c>
    </row>
    <row r="35" spans="2:3" x14ac:dyDescent="0.2">
      <c r="B35" s="8">
        <v>180</v>
      </c>
      <c r="C35" s="8" t="s">
        <v>13</v>
      </c>
    </row>
    <row r="36" spans="2:3" x14ac:dyDescent="0.2">
      <c r="B36" s="8">
        <v>247</v>
      </c>
      <c r="C36" s="8" t="s">
        <v>14</v>
      </c>
    </row>
    <row r="37" spans="2:3" x14ac:dyDescent="0.2">
      <c r="B37" s="8">
        <v>343</v>
      </c>
      <c r="C37" s="8" t="s">
        <v>14</v>
      </c>
    </row>
    <row r="38" spans="2:3" x14ac:dyDescent="0.2">
      <c r="B38" s="8">
        <v>283</v>
      </c>
      <c r="C38" s="8" t="s">
        <v>14</v>
      </c>
    </row>
    <row r="39" spans="2:3" x14ac:dyDescent="0.2">
      <c r="B39" s="8">
        <v>253</v>
      </c>
      <c r="C39" s="8" t="s">
        <v>13</v>
      </c>
    </row>
    <row r="40" spans="2:3" x14ac:dyDescent="0.2">
      <c r="B40" s="8">
        <v>263</v>
      </c>
      <c r="C40" s="8" t="s">
        <v>14</v>
      </c>
    </row>
    <row r="41" spans="2:3" x14ac:dyDescent="0.2">
      <c r="B41" s="8">
        <v>291</v>
      </c>
      <c r="C41" s="8" t="s">
        <v>13</v>
      </c>
    </row>
    <row r="42" spans="2:3" x14ac:dyDescent="0.2">
      <c r="B42" s="8">
        <v>368</v>
      </c>
      <c r="C42" s="8" t="s">
        <v>13</v>
      </c>
    </row>
    <row r="43" spans="2:3" x14ac:dyDescent="0.2">
      <c r="B43" s="8">
        <v>206</v>
      </c>
      <c r="C43" s="8" t="s">
        <v>14</v>
      </c>
    </row>
    <row r="44" spans="2:3" x14ac:dyDescent="0.2">
      <c r="B44" s="8">
        <v>231</v>
      </c>
      <c r="C44" s="8" t="s">
        <v>14</v>
      </c>
    </row>
    <row r="45" spans="2:3" x14ac:dyDescent="0.2">
      <c r="B45" s="8">
        <v>389</v>
      </c>
      <c r="C45" s="8" t="s">
        <v>14</v>
      </c>
    </row>
    <row r="46" spans="2:3" x14ac:dyDescent="0.2">
      <c r="B46" s="8">
        <v>396</v>
      </c>
      <c r="C46" s="8" t="s">
        <v>13</v>
      </c>
    </row>
    <row r="47" spans="2:3" x14ac:dyDescent="0.2">
      <c r="B47" s="8">
        <v>339</v>
      </c>
      <c r="C47" s="8" t="s">
        <v>13</v>
      </c>
    </row>
    <row r="48" spans="2:3" x14ac:dyDescent="0.2">
      <c r="B48" s="8">
        <v>286</v>
      </c>
      <c r="C48" s="8" t="s">
        <v>13</v>
      </c>
    </row>
    <row r="49" spans="2:3" x14ac:dyDescent="0.2">
      <c r="B49" s="8">
        <v>146</v>
      </c>
      <c r="C49" s="8" t="s">
        <v>14</v>
      </c>
    </row>
    <row r="50" spans="2:3" x14ac:dyDescent="0.2">
      <c r="B50" s="8">
        <v>315</v>
      </c>
      <c r="C50" s="8" t="s">
        <v>13</v>
      </c>
    </row>
    <row r="51" spans="2:3" x14ac:dyDescent="0.2">
      <c r="B51" s="8">
        <v>183</v>
      </c>
      <c r="C51" s="8" t="s">
        <v>14</v>
      </c>
    </row>
    <row r="52" spans="2:3" x14ac:dyDescent="0.2">
      <c r="B52" s="8">
        <v>481</v>
      </c>
      <c r="C52" s="8" t="s">
        <v>13</v>
      </c>
    </row>
    <row r="53" spans="2:3" x14ac:dyDescent="0.2">
      <c r="B53" s="8">
        <v>349</v>
      </c>
      <c r="C53" s="8" t="s">
        <v>14</v>
      </c>
    </row>
    <row r="54" spans="2:3" x14ac:dyDescent="0.2">
      <c r="B54" s="8">
        <v>225</v>
      </c>
      <c r="C54" s="8" t="s">
        <v>13</v>
      </c>
    </row>
    <row r="55" spans="2:3" x14ac:dyDescent="0.2">
      <c r="B55" s="8">
        <v>217</v>
      </c>
      <c r="C55" s="8" t="s">
        <v>13</v>
      </c>
    </row>
    <row r="56" spans="2:3" x14ac:dyDescent="0.2">
      <c r="B56" s="8">
        <v>353</v>
      </c>
      <c r="C56" s="8" t="s">
        <v>13</v>
      </c>
    </row>
    <row r="57" spans="2:3" x14ac:dyDescent="0.2">
      <c r="B57" s="8">
        <v>314</v>
      </c>
      <c r="C57" s="8" t="s">
        <v>14</v>
      </c>
    </row>
    <row r="58" spans="2:3" x14ac:dyDescent="0.2">
      <c r="B58" s="8">
        <v>247</v>
      </c>
      <c r="C58" s="8" t="s">
        <v>13</v>
      </c>
    </row>
    <row r="59" spans="2:3" x14ac:dyDescent="0.2">
      <c r="B59" s="8">
        <v>410</v>
      </c>
      <c r="C59" s="8" t="s">
        <v>13</v>
      </c>
    </row>
    <row r="60" spans="2:3" x14ac:dyDescent="0.2">
      <c r="B60" s="8">
        <v>395</v>
      </c>
      <c r="C60" s="8" t="s">
        <v>13</v>
      </c>
    </row>
    <row r="61" spans="2:3" x14ac:dyDescent="0.2">
      <c r="B61" s="8">
        <v>416</v>
      </c>
      <c r="C61" s="8" t="s">
        <v>13</v>
      </c>
    </row>
    <row r="62" spans="2:3" x14ac:dyDescent="0.2">
      <c r="B62" s="8">
        <v>342</v>
      </c>
      <c r="C62" s="8" t="s">
        <v>13</v>
      </c>
    </row>
    <row r="63" spans="2:3" x14ac:dyDescent="0.2">
      <c r="B63" s="8">
        <v>446</v>
      </c>
      <c r="C63" s="8" t="s">
        <v>13</v>
      </c>
    </row>
    <row r="64" spans="2:3" x14ac:dyDescent="0.2">
      <c r="B64" s="8">
        <v>477</v>
      </c>
      <c r="C64" s="8" t="s">
        <v>13</v>
      </c>
    </row>
    <row r="65" spans="2:3" x14ac:dyDescent="0.2">
      <c r="B65" s="8">
        <v>444</v>
      </c>
      <c r="C65" s="8" t="s">
        <v>13</v>
      </c>
    </row>
    <row r="66" spans="2:3" x14ac:dyDescent="0.2">
      <c r="B66" s="8">
        <v>351</v>
      </c>
      <c r="C66" s="8" t="s">
        <v>13</v>
      </c>
    </row>
    <row r="67" spans="2:3" x14ac:dyDescent="0.2">
      <c r="B67" s="8">
        <v>165</v>
      </c>
      <c r="C67" s="8" t="s">
        <v>14</v>
      </c>
    </row>
    <row r="68" spans="2:3" x14ac:dyDescent="0.2">
      <c r="B68" s="8">
        <v>317</v>
      </c>
      <c r="C68" s="8" t="s">
        <v>13</v>
      </c>
    </row>
    <row r="69" spans="2:3" x14ac:dyDescent="0.2">
      <c r="B69" s="8">
        <v>250</v>
      </c>
      <c r="C69" s="8" t="s">
        <v>13</v>
      </c>
    </row>
    <row r="70" spans="2:3" x14ac:dyDescent="0.2">
      <c r="B70" s="8">
        <v>217</v>
      </c>
      <c r="C70" s="8" t="s">
        <v>14</v>
      </c>
    </row>
    <row r="71" spans="2:3" x14ac:dyDescent="0.2">
      <c r="B71" s="8">
        <v>138</v>
      </c>
      <c r="C71" s="8" t="s">
        <v>14</v>
      </c>
    </row>
    <row r="72" spans="2:3" x14ac:dyDescent="0.2">
      <c r="B72" s="8">
        <v>302</v>
      </c>
      <c r="C72" s="8" t="s">
        <v>13</v>
      </c>
    </row>
    <row r="73" spans="2:3" x14ac:dyDescent="0.2">
      <c r="B73" s="8">
        <v>311</v>
      </c>
      <c r="C73" s="8" t="s">
        <v>14</v>
      </c>
    </row>
    <row r="74" spans="2:3" x14ac:dyDescent="0.2">
      <c r="B74" s="8">
        <v>373</v>
      </c>
      <c r="C74" s="8" t="s">
        <v>13</v>
      </c>
    </row>
    <row r="75" spans="2:3" x14ac:dyDescent="0.2">
      <c r="B75" s="8">
        <v>196</v>
      </c>
      <c r="C75" s="8" t="s">
        <v>14</v>
      </c>
    </row>
    <row r="76" spans="2:3" x14ac:dyDescent="0.2">
      <c r="B76" s="8">
        <v>306</v>
      </c>
      <c r="C76" s="8" t="s">
        <v>13</v>
      </c>
    </row>
    <row r="77" spans="2:3" x14ac:dyDescent="0.2">
      <c r="B77" s="8">
        <v>302</v>
      </c>
      <c r="C77" s="8" t="s">
        <v>14</v>
      </c>
    </row>
    <row r="78" spans="2:3" x14ac:dyDescent="0.2">
      <c r="B78" s="8">
        <v>278</v>
      </c>
      <c r="C78" s="8" t="s">
        <v>14</v>
      </c>
    </row>
    <row r="79" spans="2:3" x14ac:dyDescent="0.2">
      <c r="B79" s="8">
        <v>429</v>
      </c>
      <c r="C79" s="8" t="s">
        <v>14</v>
      </c>
    </row>
    <row r="80" spans="2:3" x14ac:dyDescent="0.2">
      <c r="B80" s="8">
        <v>338</v>
      </c>
      <c r="C80" s="8" t="s">
        <v>13</v>
      </c>
    </row>
    <row r="81" spans="2:3" x14ac:dyDescent="0.2">
      <c r="B81" s="8">
        <v>261</v>
      </c>
      <c r="C81" s="8" t="s">
        <v>14</v>
      </c>
    </row>
    <row r="82" spans="2:3" x14ac:dyDescent="0.2">
      <c r="B82" s="8">
        <v>256</v>
      </c>
      <c r="C82" s="8" t="s">
        <v>14</v>
      </c>
    </row>
    <row r="83" spans="2:3" x14ac:dyDescent="0.2">
      <c r="B83" s="8">
        <v>183</v>
      </c>
      <c r="C83" s="8" t="s">
        <v>13</v>
      </c>
    </row>
    <row r="84" spans="2:3" x14ac:dyDescent="0.2">
      <c r="B84" s="8">
        <v>274</v>
      </c>
      <c r="C84" s="8" t="s">
        <v>13</v>
      </c>
    </row>
    <row r="85" spans="2:3" x14ac:dyDescent="0.2">
      <c r="B85" s="8">
        <v>182</v>
      </c>
      <c r="C85" s="8" t="s">
        <v>14</v>
      </c>
    </row>
    <row r="86" spans="2:3" x14ac:dyDescent="0.2">
      <c r="B86" s="8">
        <v>183</v>
      </c>
      <c r="C86" s="8" t="s">
        <v>14</v>
      </c>
    </row>
    <row r="87" spans="2:3" x14ac:dyDescent="0.2">
      <c r="B87" s="8">
        <v>309</v>
      </c>
      <c r="C87" s="8" t="s">
        <v>13</v>
      </c>
    </row>
    <row r="88" spans="2:3" x14ac:dyDescent="0.2">
      <c r="B88" s="8">
        <v>178</v>
      </c>
      <c r="C88" s="8" t="s">
        <v>14</v>
      </c>
    </row>
    <row r="89" spans="2:3" x14ac:dyDescent="0.2">
      <c r="B89" s="8">
        <v>458</v>
      </c>
      <c r="C89" s="8" t="s">
        <v>13</v>
      </c>
    </row>
    <row r="90" spans="2:3" x14ac:dyDescent="0.2">
      <c r="B90" s="8">
        <v>234</v>
      </c>
      <c r="C90" s="8" t="s">
        <v>13</v>
      </c>
    </row>
    <row r="91" spans="2:3" x14ac:dyDescent="0.2">
      <c r="B91" s="8">
        <v>306</v>
      </c>
      <c r="C91" s="8" t="s">
        <v>13</v>
      </c>
    </row>
    <row r="92" spans="2:3" x14ac:dyDescent="0.2">
      <c r="B92" s="8">
        <v>400</v>
      </c>
      <c r="C92" s="8" t="s">
        <v>13</v>
      </c>
    </row>
    <row r="93" spans="2:3" x14ac:dyDescent="0.2">
      <c r="B93" s="8">
        <v>337</v>
      </c>
      <c r="C93" s="8" t="s">
        <v>14</v>
      </c>
    </row>
    <row r="94" spans="2:3" x14ac:dyDescent="0.2">
      <c r="B94" s="8">
        <v>325</v>
      </c>
      <c r="C94" s="8" t="s">
        <v>13</v>
      </c>
    </row>
    <row r="95" spans="2:3" x14ac:dyDescent="0.2">
      <c r="B95" s="8">
        <v>329</v>
      </c>
      <c r="C95" s="8" t="s">
        <v>14</v>
      </c>
    </row>
    <row r="96" spans="2:3" x14ac:dyDescent="0.2">
      <c r="B96" s="8">
        <v>369</v>
      </c>
      <c r="C96" s="8" t="s">
        <v>13</v>
      </c>
    </row>
    <row r="97" spans="2:3" x14ac:dyDescent="0.2">
      <c r="B97" s="8">
        <v>457</v>
      </c>
      <c r="C97" s="8" t="s">
        <v>13</v>
      </c>
    </row>
    <row r="98" spans="2:3" x14ac:dyDescent="0.2">
      <c r="B98" s="8">
        <v>421</v>
      </c>
      <c r="C98" s="8" t="s">
        <v>14</v>
      </c>
    </row>
    <row r="99" spans="2:3" x14ac:dyDescent="0.2">
      <c r="B99" s="8">
        <v>282</v>
      </c>
      <c r="C99" s="8" t="s">
        <v>13</v>
      </c>
    </row>
    <row r="100" spans="2:3" x14ac:dyDescent="0.2">
      <c r="B100" s="8">
        <v>256</v>
      </c>
      <c r="C100" s="8" t="s">
        <v>14</v>
      </c>
    </row>
  </sheetData>
  <mergeCells count="5">
    <mergeCell ref="M5:N5"/>
    <mergeCell ref="E5:H5"/>
    <mergeCell ref="J5:K5"/>
    <mergeCell ref="P5:Q5"/>
    <mergeCell ref="S6:S11"/>
  </mergeCells>
  <dataValidations count="2">
    <dataValidation type="list" allowBlank="1" showInputMessage="1" showErrorMessage="1" sqref="G6" xr:uid="{0EA8714A-0B9D-4055-A7A6-5F99DE8281F8}">
      <formula1>$U$5:$U$6</formula1>
    </dataValidation>
    <dataValidation type="list" allowBlank="1" showInputMessage="1" showErrorMessage="1" sqref="G7" xr:uid="{D9F0612E-42D0-4244-A7B0-66921AECED67}">
      <formula1>$V$5:$V$6</formula1>
    </dataValidation>
  </dataValidations>
  <pageMargins left="0.7" right="0.7" top="0.75" bottom="0.75" header="0.3" footer="0.3"/>
  <pageSetup orientation="portrait" r:id="rId1"/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E5303-E801-47D0-B7E5-F40CA5CE77A8}">
  <sheetPr codeName="Sheet45">
    <tabColor theme="7" tint="0.59999389629810485"/>
  </sheetPr>
  <dimension ref="B1:V58"/>
  <sheetViews>
    <sheetView showGridLines="0" topLeftCell="D1" workbookViewId="0">
      <selection activeCell="E7" sqref="E7"/>
    </sheetView>
  </sheetViews>
  <sheetFormatPr baseColWidth="10" defaultColWidth="8.83203125" defaultRowHeight="15" x14ac:dyDescent="0.2"/>
  <cols>
    <col min="1" max="1" width="2.83203125" customWidth="1"/>
    <col min="2" max="2" width="13.1640625" bestFit="1" customWidth="1"/>
    <col min="4" max="4" width="13.5" customWidth="1"/>
    <col min="5" max="5" width="11.5" customWidth="1"/>
    <col min="7" max="7" width="6.5" customWidth="1"/>
    <col min="8" max="9" width="2.83203125" customWidth="1"/>
    <col min="12" max="12" width="11.5" customWidth="1"/>
    <col min="15" max="15" width="15.6640625" bestFit="1" customWidth="1"/>
    <col min="18" max="18" width="60.6640625" customWidth="1"/>
    <col min="21" max="22" width="9.1640625" hidden="1" customWidth="1"/>
  </cols>
  <sheetData>
    <row r="1" spans="2:22" ht="25.5" customHeight="1" x14ac:dyDescent="0.25">
      <c r="B1" s="18" t="s">
        <v>214</v>
      </c>
    </row>
    <row r="2" spans="2:22" ht="15" customHeight="1" x14ac:dyDescent="0.2">
      <c r="B2" s="30" t="s">
        <v>211</v>
      </c>
    </row>
    <row r="3" spans="2:22" ht="18" customHeight="1" x14ac:dyDescent="0.2"/>
    <row r="4" spans="2:22" x14ac:dyDescent="0.2">
      <c r="D4" s="3" t="s">
        <v>54</v>
      </c>
      <c r="G4" s="3"/>
      <c r="O4" s="3" t="s">
        <v>54</v>
      </c>
    </row>
    <row r="5" spans="2:22" x14ac:dyDescent="0.2">
      <c r="B5" s="7" t="s">
        <v>35</v>
      </c>
      <c r="D5" s="115" t="s">
        <v>139</v>
      </c>
      <c r="E5" s="115"/>
      <c r="G5" s="117" t="s">
        <v>199</v>
      </c>
      <c r="H5" s="117"/>
      <c r="I5" s="117"/>
      <c r="J5" s="117"/>
      <c r="L5" s="117" t="s">
        <v>201</v>
      </c>
      <c r="M5" s="117"/>
      <c r="O5" s="115" t="s">
        <v>204</v>
      </c>
      <c r="P5" s="115"/>
      <c r="R5" s="50" t="s">
        <v>203</v>
      </c>
      <c r="U5" t="s">
        <v>198</v>
      </c>
      <c r="V5" s="92" t="s">
        <v>200</v>
      </c>
    </row>
    <row r="6" spans="2:22" x14ac:dyDescent="0.2">
      <c r="B6" s="53">
        <v>111000</v>
      </c>
      <c r="D6" s="20" t="s">
        <v>71</v>
      </c>
      <c r="E6" s="71">
        <f>COUNT(B6:B58)</f>
        <v>53</v>
      </c>
      <c r="G6" s="20" t="s">
        <v>195</v>
      </c>
      <c r="H6" s="89" t="s">
        <v>213</v>
      </c>
      <c r="I6" s="89" t="s">
        <v>209</v>
      </c>
      <c r="J6" s="93">
        <v>0.5</v>
      </c>
      <c r="L6" s="20" t="s">
        <v>143</v>
      </c>
      <c r="M6" s="71">
        <v>0.05</v>
      </c>
      <c r="O6" s="20" t="s">
        <v>146</v>
      </c>
      <c r="P6" s="94">
        <f>SQRT(E7*E8/E6)</f>
        <v>6.5872243431592162E-2</v>
      </c>
      <c r="R6" s="118" t="s">
        <v>344</v>
      </c>
      <c r="U6" t="s">
        <v>209</v>
      </c>
      <c r="V6" s="92" t="s">
        <v>210</v>
      </c>
    </row>
    <row r="7" spans="2:22" x14ac:dyDescent="0.2">
      <c r="B7" s="53">
        <v>107000</v>
      </c>
      <c r="D7" s="20" t="s">
        <v>158</v>
      </c>
      <c r="E7" s="87">
        <f>COUNTIF(B6:B58,"&gt;100000")/E6</f>
        <v>0.64150943396226412</v>
      </c>
      <c r="G7" s="20" t="s">
        <v>196</v>
      </c>
      <c r="H7" s="89" t="s">
        <v>213</v>
      </c>
      <c r="I7" s="89" t="s">
        <v>210</v>
      </c>
      <c r="J7" s="93">
        <v>0.5</v>
      </c>
      <c r="L7" s="20"/>
      <c r="M7" s="1"/>
      <c r="O7" s="20" t="s">
        <v>212</v>
      </c>
      <c r="P7" s="91">
        <f>(E7-J6)/P6</f>
        <v>2.14824069426481</v>
      </c>
      <c r="R7" s="118"/>
      <c r="U7" t="s">
        <v>311</v>
      </c>
      <c r="V7" t="s">
        <v>312</v>
      </c>
    </row>
    <row r="8" spans="2:22" x14ac:dyDescent="0.2">
      <c r="B8" s="53">
        <v>109000</v>
      </c>
      <c r="D8" s="20" t="s">
        <v>159</v>
      </c>
      <c r="E8" s="87">
        <f>1-E7</f>
        <v>0.35849056603773588</v>
      </c>
      <c r="G8" s="20"/>
      <c r="H8" s="36"/>
      <c r="I8" s="36"/>
      <c r="J8" s="36"/>
      <c r="O8" s="20" t="s">
        <v>207</v>
      </c>
      <c r="P8" s="70">
        <f>1-_xlfn.NORM.S.DIST(P7,TRUE)</f>
        <v>1.5847319730759257E-2</v>
      </c>
      <c r="R8" s="118"/>
    </row>
    <row r="9" spans="2:22" x14ac:dyDescent="0.2">
      <c r="B9" s="53">
        <v>148000</v>
      </c>
      <c r="G9" s="20"/>
      <c r="H9" s="37"/>
      <c r="I9" s="37"/>
      <c r="J9" s="37"/>
      <c r="R9" s="118"/>
    </row>
    <row r="10" spans="2:22" x14ac:dyDescent="0.2">
      <c r="B10" s="53">
        <v>255500</v>
      </c>
      <c r="D10" s="115" t="s">
        <v>163</v>
      </c>
      <c r="E10" s="115"/>
      <c r="G10" s="20"/>
      <c r="H10" s="22"/>
      <c r="I10" s="22"/>
      <c r="J10" s="22"/>
      <c r="R10" s="118"/>
    </row>
    <row r="11" spans="2:22" x14ac:dyDescent="0.2">
      <c r="B11" s="53">
        <v>103500</v>
      </c>
      <c r="D11" s="20" t="s">
        <v>164</v>
      </c>
      <c r="E11" s="71" t="str">
        <f>IF(E7*E6&gt;5,"Yes")</f>
        <v>Yes</v>
      </c>
      <c r="G11" s="20"/>
      <c r="H11" s="22"/>
      <c r="I11" s="22"/>
      <c r="J11" s="22"/>
      <c r="R11" s="118"/>
    </row>
    <row r="12" spans="2:22" x14ac:dyDescent="0.2">
      <c r="B12" s="53">
        <v>114500</v>
      </c>
      <c r="D12" s="20" t="s">
        <v>165</v>
      </c>
      <c r="E12" s="71" t="str">
        <f>IF(E8*E6&gt;5,"Yes")</f>
        <v>Yes</v>
      </c>
    </row>
    <row r="13" spans="2:22" x14ac:dyDescent="0.2">
      <c r="B13" s="53">
        <v>124000</v>
      </c>
    </row>
    <row r="14" spans="2:22" x14ac:dyDescent="0.2">
      <c r="B14" s="53">
        <v>132500</v>
      </c>
    </row>
    <row r="15" spans="2:22" x14ac:dyDescent="0.2">
      <c r="B15" s="53">
        <v>99000</v>
      </c>
    </row>
    <row r="16" spans="2:22" x14ac:dyDescent="0.2">
      <c r="B16" s="53">
        <v>124000</v>
      </c>
    </row>
    <row r="17" spans="2:2" x14ac:dyDescent="0.2">
      <c r="B17" s="53">
        <v>82000</v>
      </c>
    </row>
    <row r="18" spans="2:2" x14ac:dyDescent="0.2">
      <c r="B18" s="53">
        <v>185000</v>
      </c>
    </row>
    <row r="19" spans="2:2" x14ac:dyDescent="0.2">
      <c r="B19" s="53">
        <v>89500</v>
      </c>
    </row>
    <row r="20" spans="2:2" x14ac:dyDescent="0.2">
      <c r="B20" s="53">
        <v>91500</v>
      </c>
    </row>
    <row r="21" spans="2:2" x14ac:dyDescent="0.2">
      <c r="B21" s="53">
        <v>113500</v>
      </c>
    </row>
    <row r="22" spans="2:2" x14ac:dyDescent="0.2">
      <c r="B22" s="53">
        <v>99000</v>
      </c>
    </row>
    <row r="23" spans="2:2" x14ac:dyDescent="0.2">
      <c r="B23" s="53">
        <v>75500</v>
      </c>
    </row>
    <row r="24" spans="2:2" x14ac:dyDescent="0.2">
      <c r="B24" s="53">
        <v>86000</v>
      </c>
    </row>
    <row r="25" spans="2:2" x14ac:dyDescent="0.2">
      <c r="B25" s="53">
        <v>156500</v>
      </c>
    </row>
    <row r="26" spans="2:2" x14ac:dyDescent="0.2">
      <c r="B26" s="53">
        <v>99500</v>
      </c>
    </row>
    <row r="27" spans="2:2" x14ac:dyDescent="0.2">
      <c r="B27" s="53">
        <v>148000</v>
      </c>
    </row>
    <row r="28" spans="2:2" x14ac:dyDescent="0.2">
      <c r="B28" s="53">
        <v>82000</v>
      </c>
    </row>
    <row r="29" spans="2:2" x14ac:dyDescent="0.2">
      <c r="B29" s="53">
        <v>103500</v>
      </c>
    </row>
    <row r="30" spans="2:2" x14ac:dyDescent="0.2">
      <c r="B30" s="53">
        <v>205500</v>
      </c>
    </row>
    <row r="31" spans="2:2" x14ac:dyDescent="0.2">
      <c r="B31" s="53">
        <v>103500</v>
      </c>
    </row>
    <row r="32" spans="2:2" x14ac:dyDescent="0.2">
      <c r="B32" s="53">
        <v>340000</v>
      </c>
    </row>
    <row r="33" spans="2:2" x14ac:dyDescent="0.2">
      <c r="B33" s="53">
        <v>103500</v>
      </c>
    </row>
    <row r="34" spans="2:2" x14ac:dyDescent="0.2">
      <c r="B34" s="53">
        <v>99500</v>
      </c>
    </row>
    <row r="35" spans="2:2" x14ac:dyDescent="0.2">
      <c r="B35" s="53">
        <v>103000</v>
      </c>
    </row>
    <row r="36" spans="2:2" x14ac:dyDescent="0.2">
      <c r="B36" s="53">
        <v>103500</v>
      </c>
    </row>
    <row r="37" spans="2:2" x14ac:dyDescent="0.2">
      <c r="B37" s="53">
        <v>165000</v>
      </c>
    </row>
    <row r="38" spans="2:2" x14ac:dyDescent="0.2">
      <c r="B38" s="53">
        <v>124500</v>
      </c>
    </row>
    <row r="39" spans="2:2" x14ac:dyDescent="0.2">
      <c r="B39" s="53">
        <v>103500</v>
      </c>
    </row>
    <row r="40" spans="2:2" x14ac:dyDescent="0.2">
      <c r="B40" s="53">
        <v>82500</v>
      </c>
    </row>
    <row r="41" spans="2:2" x14ac:dyDescent="0.2">
      <c r="B41" s="53">
        <v>93000</v>
      </c>
    </row>
    <row r="42" spans="2:2" x14ac:dyDescent="0.2">
      <c r="B42" s="53">
        <v>168000</v>
      </c>
    </row>
    <row r="43" spans="2:2" x14ac:dyDescent="0.2">
      <c r="B43" s="53">
        <v>96000</v>
      </c>
    </row>
    <row r="44" spans="2:2" x14ac:dyDescent="0.2">
      <c r="B44" s="53">
        <v>80000</v>
      </c>
    </row>
    <row r="45" spans="2:2" x14ac:dyDescent="0.2">
      <c r="B45" s="53">
        <v>124500</v>
      </c>
    </row>
    <row r="46" spans="2:2" x14ac:dyDescent="0.2">
      <c r="B46" s="53">
        <v>99000</v>
      </c>
    </row>
    <row r="47" spans="2:2" x14ac:dyDescent="0.2">
      <c r="B47" s="53">
        <v>124000</v>
      </c>
    </row>
    <row r="48" spans="2:2" x14ac:dyDescent="0.2">
      <c r="B48" s="53">
        <v>91500</v>
      </c>
    </row>
    <row r="49" spans="2:2" x14ac:dyDescent="0.2">
      <c r="B49" s="53">
        <v>144500</v>
      </c>
    </row>
    <row r="50" spans="2:2" x14ac:dyDescent="0.2">
      <c r="B50" s="53">
        <v>114500</v>
      </c>
    </row>
    <row r="51" spans="2:2" x14ac:dyDescent="0.2">
      <c r="B51" s="53">
        <v>104500</v>
      </c>
    </row>
    <row r="52" spans="2:2" x14ac:dyDescent="0.2">
      <c r="B52" s="53">
        <v>124000</v>
      </c>
    </row>
    <row r="53" spans="2:2" x14ac:dyDescent="0.2">
      <c r="B53" s="53">
        <v>113000</v>
      </c>
    </row>
    <row r="54" spans="2:2" x14ac:dyDescent="0.2">
      <c r="B54" s="53">
        <v>78000</v>
      </c>
    </row>
    <row r="55" spans="2:2" x14ac:dyDescent="0.2">
      <c r="B55" s="53">
        <v>109000</v>
      </c>
    </row>
    <row r="56" spans="2:2" x14ac:dyDescent="0.2">
      <c r="B56" s="53">
        <v>99500</v>
      </c>
    </row>
    <row r="57" spans="2:2" x14ac:dyDescent="0.2">
      <c r="B57" s="53">
        <v>107000</v>
      </c>
    </row>
    <row r="58" spans="2:2" x14ac:dyDescent="0.2">
      <c r="B58" s="53">
        <v>84000</v>
      </c>
    </row>
  </sheetData>
  <mergeCells count="6">
    <mergeCell ref="D5:E5"/>
    <mergeCell ref="G5:J5"/>
    <mergeCell ref="L5:M5"/>
    <mergeCell ref="O5:P5"/>
    <mergeCell ref="R6:R11"/>
    <mergeCell ref="D10:E10"/>
  </mergeCells>
  <dataValidations count="2">
    <dataValidation type="list" allowBlank="1" showInputMessage="1" showErrorMessage="1" sqref="I6" xr:uid="{2D256431-193E-4E41-B852-380DAD55F07E}">
      <formula1>$U$5:$U$7</formula1>
    </dataValidation>
    <dataValidation type="list" allowBlank="1" showInputMessage="1" showErrorMessage="1" sqref="I7" xr:uid="{EE0B3F31-4628-407D-AE5C-832FA452A00F}">
      <formula1>$V$5:$V$7</formula1>
    </dataValidation>
  </dataValidations>
  <pageMargins left="0.7" right="0.7" top="0.75" bottom="0.75" header="0.3" footer="0.3"/>
  <pageSetup orientation="portrait" r:id="rId1"/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BBAFD-FDE3-4F5E-A143-E2DFD6E90F93}">
  <sheetPr codeName="Sheet46">
    <tabColor theme="7" tint="0.59999389629810485"/>
  </sheetPr>
  <dimension ref="B1:X100"/>
  <sheetViews>
    <sheetView showGridLines="0" topLeftCell="J1" workbookViewId="0">
      <selection activeCell="U5" sqref="U5:U11"/>
    </sheetView>
  </sheetViews>
  <sheetFormatPr baseColWidth="10" defaultColWidth="8.83203125" defaultRowHeight="15" x14ac:dyDescent="0.2"/>
  <cols>
    <col min="1" max="1" width="2.83203125" customWidth="1"/>
    <col min="2" max="2" width="11.5" customWidth="1"/>
    <col min="3" max="3" width="21.5" customWidth="1"/>
    <col min="4" max="4" width="20" customWidth="1"/>
    <col min="5" max="5" width="11.5" customWidth="1"/>
    <col min="7" max="7" width="6.5" customWidth="1"/>
    <col min="8" max="8" width="5.5" bestFit="1" customWidth="1"/>
    <col min="9" max="9" width="2.83203125" customWidth="1"/>
    <col min="12" max="12" width="11.5" customWidth="1"/>
    <col min="15" max="15" width="12.1640625" customWidth="1"/>
    <col min="16" max="16" width="11.5" customWidth="1"/>
    <col min="18" max="18" width="15.6640625" bestFit="1" customWidth="1"/>
    <col min="21" max="21" width="57.1640625" customWidth="1"/>
    <col min="23" max="24" width="0" hidden="1" customWidth="1"/>
  </cols>
  <sheetData>
    <row r="1" spans="2:24" ht="25.5" customHeight="1" x14ac:dyDescent="0.25">
      <c r="B1" s="18" t="s">
        <v>314</v>
      </c>
    </row>
    <row r="2" spans="2:24" ht="15" customHeight="1" x14ac:dyDescent="0.2">
      <c r="B2" s="30" t="s">
        <v>215</v>
      </c>
    </row>
    <row r="3" spans="2:24" ht="18" customHeight="1" x14ac:dyDescent="0.2"/>
    <row r="4" spans="2:24" x14ac:dyDescent="0.2">
      <c r="G4" s="3"/>
      <c r="O4" s="3" t="s">
        <v>54</v>
      </c>
      <c r="R4" s="3" t="s">
        <v>54</v>
      </c>
    </row>
    <row r="5" spans="2:24" x14ac:dyDescent="0.2">
      <c r="B5" s="40" t="s">
        <v>20</v>
      </c>
      <c r="C5" s="43" t="s">
        <v>22</v>
      </c>
      <c r="D5" s="43" t="s">
        <v>23</v>
      </c>
      <c r="E5" s="41" t="s">
        <v>172</v>
      </c>
      <c r="G5" s="117" t="s">
        <v>199</v>
      </c>
      <c r="H5" s="117"/>
      <c r="I5" s="117"/>
      <c r="J5" s="117"/>
      <c r="L5" s="117" t="s">
        <v>201</v>
      </c>
      <c r="M5" s="117"/>
      <c r="O5" s="115" t="s">
        <v>139</v>
      </c>
      <c r="P5" s="115"/>
      <c r="R5" s="115" t="s">
        <v>204</v>
      </c>
      <c r="S5" s="115"/>
      <c r="U5" s="50" t="s">
        <v>203</v>
      </c>
      <c r="W5" t="s">
        <v>198</v>
      </c>
      <c r="X5" s="92" t="s">
        <v>200</v>
      </c>
    </row>
    <row r="6" spans="2:24" ht="17" x14ac:dyDescent="0.25">
      <c r="B6" s="8">
        <v>1</v>
      </c>
      <c r="C6" s="8">
        <v>252</v>
      </c>
      <c r="D6" s="8">
        <v>276</v>
      </c>
      <c r="E6" s="8">
        <f>D6-C6</f>
        <v>24</v>
      </c>
      <c r="G6" s="20" t="s">
        <v>195</v>
      </c>
      <c r="H6" s="89" t="s">
        <v>216</v>
      </c>
      <c r="I6" s="89" t="s">
        <v>311</v>
      </c>
      <c r="J6" s="90">
        <v>50</v>
      </c>
      <c r="L6" s="20" t="s">
        <v>143</v>
      </c>
      <c r="M6" s="71">
        <v>0.02</v>
      </c>
      <c r="O6" s="20" t="s">
        <v>71</v>
      </c>
      <c r="P6" s="71">
        <f>COUNT(E6:E100)</f>
        <v>95</v>
      </c>
      <c r="R6" s="20" t="s">
        <v>146</v>
      </c>
      <c r="S6" s="75">
        <f>P8/SQRT(P6)</f>
        <v>3.0425395986393706</v>
      </c>
      <c r="U6" s="118" t="s">
        <v>345</v>
      </c>
      <c r="W6" t="s">
        <v>209</v>
      </c>
      <c r="X6" s="92" t="s">
        <v>210</v>
      </c>
    </row>
    <row r="7" spans="2:24" ht="17" x14ac:dyDescent="0.25">
      <c r="B7" s="8">
        <v>2</v>
      </c>
      <c r="C7" s="8">
        <v>423</v>
      </c>
      <c r="D7" s="8">
        <v>410</v>
      </c>
      <c r="E7" s="8">
        <f t="shared" ref="E7:E70" si="0">D7-C7</f>
        <v>-13</v>
      </c>
      <c r="G7" s="20" t="s">
        <v>196</v>
      </c>
      <c r="H7" s="89" t="s">
        <v>216</v>
      </c>
      <c r="I7" s="89" t="s">
        <v>312</v>
      </c>
      <c r="J7" s="90">
        <v>50</v>
      </c>
      <c r="L7" s="20"/>
      <c r="M7" s="1"/>
      <c r="O7" s="20" t="s">
        <v>46</v>
      </c>
      <c r="P7" s="72">
        <f>AVERAGE(E6:E100)</f>
        <v>49.442105263157892</v>
      </c>
      <c r="R7" s="20" t="s">
        <v>202</v>
      </c>
      <c r="S7" s="91">
        <f>(P7-J6)/S6</f>
        <v>-0.18336482361366796</v>
      </c>
      <c r="U7" s="118"/>
      <c r="W7" t="s">
        <v>311</v>
      </c>
      <c r="X7" t="s">
        <v>312</v>
      </c>
    </row>
    <row r="8" spans="2:24" x14ac:dyDescent="0.2">
      <c r="B8" s="8">
        <v>3</v>
      </c>
      <c r="C8" s="8">
        <v>101</v>
      </c>
      <c r="D8" s="8">
        <v>119</v>
      </c>
      <c r="E8" s="8">
        <f t="shared" si="0"/>
        <v>18</v>
      </c>
      <c r="G8" s="20"/>
      <c r="H8" s="36"/>
      <c r="I8" s="36"/>
      <c r="J8" s="36"/>
      <c r="O8" s="20" t="s">
        <v>70</v>
      </c>
      <c r="P8" s="75">
        <f>_xlfn.STDEV.S(E6:E100)</f>
        <v>29.655007753875548</v>
      </c>
      <c r="R8" s="20" t="s">
        <v>207</v>
      </c>
      <c r="S8" s="70">
        <f>_xlfn.T.DIST(S7,P6-1,TRUE)</f>
        <v>0.42745335670268647</v>
      </c>
      <c r="U8" s="118"/>
    </row>
    <row r="9" spans="2:24" x14ac:dyDescent="0.2">
      <c r="B9" s="8">
        <v>4</v>
      </c>
      <c r="C9" s="8">
        <v>288</v>
      </c>
      <c r="D9" s="8">
        <v>334</v>
      </c>
      <c r="E9" s="8">
        <f t="shared" si="0"/>
        <v>46</v>
      </c>
      <c r="G9" s="20"/>
      <c r="H9" s="37"/>
      <c r="I9" s="37"/>
      <c r="J9" s="37"/>
      <c r="U9" s="118"/>
    </row>
    <row r="10" spans="2:24" x14ac:dyDescent="0.2">
      <c r="B10" s="8">
        <v>5</v>
      </c>
      <c r="C10" s="8">
        <v>248</v>
      </c>
      <c r="D10" s="8">
        <v>252</v>
      </c>
      <c r="E10" s="8">
        <f t="shared" si="0"/>
        <v>4</v>
      </c>
      <c r="G10" s="20"/>
      <c r="H10" s="22"/>
      <c r="I10" s="22"/>
      <c r="J10" s="22"/>
      <c r="U10" s="118"/>
    </row>
    <row r="11" spans="2:24" x14ac:dyDescent="0.2">
      <c r="B11" s="8">
        <v>6</v>
      </c>
      <c r="C11" s="8">
        <v>145</v>
      </c>
      <c r="D11" s="8">
        <v>209</v>
      </c>
      <c r="E11" s="8">
        <f t="shared" si="0"/>
        <v>64</v>
      </c>
      <c r="G11" s="20"/>
      <c r="H11" s="22"/>
      <c r="I11" s="22"/>
      <c r="J11" s="22"/>
      <c r="U11" s="118"/>
    </row>
    <row r="12" spans="2:24" x14ac:dyDescent="0.2">
      <c r="B12" s="8">
        <v>7</v>
      </c>
      <c r="C12" s="8">
        <v>401</v>
      </c>
      <c r="D12" s="8">
        <v>462</v>
      </c>
      <c r="E12" s="8">
        <f t="shared" si="0"/>
        <v>61</v>
      </c>
    </row>
    <row r="13" spans="2:24" x14ac:dyDescent="0.2">
      <c r="B13" s="8">
        <v>8</v>
      </c>
      <c r="C13" s="8">
        <v>287</v>
      </c>
      <c r="D13" s="8">
        <v>342</v>
      </c>
      <c r="E13" s="8">
        <f t="shared" si="0"/>
        <v>55</v>
      </c>
    </row>
    <row r="14" spans="2:24" x14ac:dyDescent="0.2">
      <c r="B14" s="8">
        <v>9</v>
      </c>
      <c r="C14" s="8">
        <v>275</v>
      </c>
      <c r="D14" s="8">
        <v>347</v>
      </c>
      <c r="E14" s="8">
        <f t="shared" si="0"/>
        <v>72</v>
      </c>
    </row>
    <row r="15" spans="2:24" x14ac:dyDescent="0.2">
      <c r="B15" s="8">
        <v>10</v>
      </c>
      <c r="C15" s="8">
        <v>254</v>
      </c>
      <c r="D15" s="8">
        <v>313</v>
      </c>
      <c r="E15" s="8">
        <f t="shared" si="0"/>
        <v>59</v>
      </c>
    </row>
    <row r="16" spans="2:24" x14ac:dyDescent="0.2">
      <c r="B16" s="8">
        <v>11</v>
      </c>
      <c r="C16" s="8">
        <v>182</v>
      </c>
      <c r="D16" s="8">
        <v>232</v>
      </c>
      <c r="E16" s="8">
        <f t="shared" si="0"/>
        <v>50</v>
      </c>
    </row>
    <row r="17" spans="2:5" x14ac:dyDescent="0.2">
      <c r="B17" s="8">
        <v>12</v>
      </c>
      <c r="C17" s="8">
        <v>117</v>
      </c>
      <c r="D17" s="8">
        <v>163</v>
      </c>
      <c r="E17" s="8">
        <f t="shared" si="0"/>
        <v>46</v>
      </c>
    </row>
    <row r="18" spans="2:5" x14ac:dyDescent="0.2">
      <c r="B18" s="8">
        <v>13</v>
      </c>
      <c r="C18" s="8">
        <v>130</v>
      </c>
      <c r="D18" s="8">
        <v>119</v>
      </c>
      <c r="E18" s="8">
        <f t="shared" si="0"/>
        <v>-11</v>
      </c>
    </row>
    <row r="19" spans="2:5" x14ac:dyDescent="0.2">
      <c r="B19" s="8">
        <v>14</v>
      </c>
      <c r="C19" s="8">
        <v>219</v>
      </c>
      <c r="D19" s="8">
        <v>304</v>
      </c>
      <c r="E19" s="8">
        <f t="shared" si="0"/>
        <v>85</v>
      </c>
    </row>
    <row r="20" spans="2:5" x14ac:dyDescent="0.2">
      <c r="B20" s="8">
        <v>15</v>
      </c>
      <c r="C20" s="8">
        <v>152</v>
      </c>
      <c r="D20" s="8">
        <v>211</v>
      </c>
      <c r="E20" s="8">
        <f t="shared" si="0"/>
        <v>59</v>
      </c>
    </row>
    <row r="21" spans="2:5" x14ac:dyDescent="0.2">
      <c r="B21" s="8">
        <v>16</v>
      </c>
      <c r="C21" s="8">
        <v>228</v>
      </c>
      <c r="D21" s="8">
        <v>286</v>
      </c>
      <c r="E21" s="8">
        <f t="shared" si="0"/>
        <v>58</v>
      </c>
    </row>
    <row r="22" spans="2:5" x14ac:dyDescent="0.2">
      <c r="B22" s="8">
        <v>17</v>
      </c>
      <c r="C22" s="8">
        <v>62</v>
      </c>
      <c r="D22" s="8">
        <v>122</v>
      </c>
      <c r="E22" s="8">
        <f t="shared" si="0"/>
        <v>60</v>
      </c>
    </row>
    <row r="23" spans="2:5" x14ac:dyDescent="0.2">
      <c r="B23" s="8">
        <v>18</v>
      </c>
      <c r="C23" s="8">
        <v>393</v>
      </c>
      <c r="D23" s="8">
        <v>443</v>
      </c>
      <c r="E23" s="8">
        <f t="shared" si="0"/>
        <v>50</v>
      </c>
    </row>
    <row r="24" spans="2:5" x14ac:dyDescent="0.2">
      <c r="B24" s="8">
        <v>19</v>
      </c>
      <c r="C24" s="8">
        <v>277</v>
      </c>
      <c r="D24" s="8">
        <v>366</v>
      </c>
      <c r="E24" s="8">
        <f t="shared" si="0"/>
        <v>89</v>
      </c>
    </row>
    <row r="25" spans="2:5" x14ac:dyDescent="0.2">
      <c r="B25" s="8">
        <v>20</v>
      </c>
      <c r="C25" s="8">
        <v>206</v>
      </c>
      <c r="D25" s="8">
        <v>244</v>
      </c>
      <c r="E25" s="8">
        <f t="shared" si="0"/>
        <v>38</v>
      </c>
    </row>
    <row r="26" spans="2:5" x14ac:dyDescent="0.2">
      <c r="B26" s="8">
        <v>21</v>
      </c>
      <c r="C26" s="8">
        <v>229</v>
      </c>
      <c r="D26" s="8">
        <v>241</v>
      </c>
      <c r="E26" s="8">
        <f t="shared" si="0"/>
        <v>12</v>
      </c>
    </row>
    <row r="27" spans="2:5" x14ac:dyDescent="0.2">
      <c r="B27" s="8">
        <v>22</v>
      </c>
      <c r="C27" s="8">
        <v>182</v>
      </c>
      <c r="D27" s="8">
        <v>237</v>
      </c>
      <c r="E27" s="8">
        <f t="shared" si="0"/>
        <v>55</v>
      </c>
    </row>
    <row r="28" spans="2:5" x14ac:dyDescent="0.2">
      <c r="B28" s="8">
        <v>23</v>
      </c>
      <c r="C28" s="8">
        <v>98</v>
      </c>
      <c r="D28" s="8">
        <v>122</v>
      </c>
      <c r="E28" s="8">
        <f t="shared" si="0"/>
        <v>24</v>
      </c>
    </row>
    <row r="29" spans="2:5" x14ac:dyDescent="0.2">
      <c r="B29" s="8">
        <v>24</v>
      </c>
      <c r="C29" s="8">
        <v>125</v>
      </c>
      <c r="D29" s="8">
        <v>129</v>
      </c>
      <c r="E29" s="8">
        <f t="shared" si="0"/>
        <v>4</v>
      </c>
    </row>
    <row r="30" spans="2:5" x14ac:dyDescent="0.2">
      <c r="B30" s="8">
        <v>25</v>
      </c>
      <c r="C30" s="8">
        <v>164</v>
      </c>
      <c r="D30" s="8">
        <v>236</v>
      </c>
      <c r="E30" s="8">
        <f t="shared" si="0"/>
        <v>72</v>
      </c>
    </row>
    <row r="31" spans="2:5" x14ac:dyDescent="0.2">
      <c r="B31" s="8">
        <v>26</v>
      </c>
      <c r="C31" s="8">
        <v>186</v>
      </c>
      <c r="D31" s="8">
        <v>251</v>
      </c>
      <c r="E31" s="8">
        <f t="shared" si="0"/>
        <v>65</v>
      </c>
    </row>
    <row r="32" spans="2:5" x14ac:dyDescent="0.2">
      <c r="B32" s="8">
        <v>27</v>
      </c>
      <c r="C32" s="8">
        <v>235</v>
      </c>
      <c r="D32" s="8">
        <v>283</v>
      </c>
      <c r="E32" s="8">
        <f t="shared" si="0"/>
        <v>48</v>
      </c>
    </row>
    <row r="33" spans="2:5" x14ac:dyDescent="0.2">
      <c r="B33" s="8">
        <v>28</v>
      </c>
      <c r="C33" s="8">
        <v>184</v>
      </c>
      <c r="D33" s="8">
        <v>225</v>
      </c>
      <c r="E33" s="8">
        <f t="shared" si="0"/>
        <v>41</v>
      </c>
    </row>
    <row r="34" spans="2:5" x14ac:dyDescent="0.2">
      <c r="B34" s="8">
        <v>29</v>
      </c>
      <c r="C34" s="8">
        <v>76</v>
      </c>
      <c r="D34" s="8">
        <v>102</v>
      </c>
      <c r="E34" s="8">
        <f t="shared" si="0"/>
        <v>26</v>
      </c>
    </row>
    <row r="35" spans="2:5" x14ac:dyDescent="0.2">
      <c r="B35" s="8">
        <v>30</v>
      </c>
      <c r="C35" s="8">
        <v>126</v>
      </c>
      <c r="D35" s="8">
        <v>180</v>
      </c>
      <c r="E35" s="8">
        <f t="shared" si="0"/>
        <v>54</v>
      </c>
    </row>
    <row r="36" spans="2:5" x14ac:dyDescent="0.2">
      <c r="B36" s="8">
        <v>31</v>
      </c>
      <c r="C36" s="8">
        <v>183</v>
      </c>
      <c r="D36" s="8">
        <v>247</v>
      </c>
      <c r="E36" s="8">
        <f t="shared" si="0"/>
        <v>64</v>
      </c>
    </row>
    <row r="37" spans="2:5" x14ac:dyDescent="0.2">
      <c r="B37" s="8">
        <v>32</v>
      </c>
      <c r="C37" s="8">
        <v>242</v>
      </c>
      <c r="D37" s="8">
        <v>343</v>
      </c>
      <c r="E37" s="8">
        <f t="shared" si="0"/>
        <v>101</v>
      </c>
    </row>
    <row r="38" spans="2:5" x14ac:dyDescent="0.2">
      <c r="B38" s="8">
        <v>33</v>
      </c>
      <c r="C38" s="8">
        <v>207</v>
      </c>
      <c r="D38" s="8">
        <v>283</v>
      </c>
      <c r="E38" s="8">
        <f t="shared" si="0"/>
        <v>76</v>
      </c>
    </row>
    <row r="39" spans="2:5" x14ac:dyDescent="0.2">
      <c r="B39" s="8">
        <v>34</v>
      </c>
      <c r="C39" s="8">
        <v>181</v>
      </c>
      <c r="D39" s="8">
        <v>253</v>
      </c>
      <c r="E39" s="8">
        <f t="shared" si="0"/>
        <v>72</v>
      </c>
    </row>
    <row r="40" spans="2:5" x14ac:dyDescent="0.2">
      <c r="B40" s="8">
        <v>35</v>
      </c>
      <c r="C40" s="8">
        <v>239</v>
      </c>
      <c r="D40" s="8">
        <v>263</v>
      </c>
      <c r="E40" s="8">
        <f t="shared" si="0"/>
        <v>24</v>
      </c>
    </row>
    <row r="41" spans="2:5" x14ac:dyDescent="0.2">
      <c r="B41" s="8">
        <v>36</v>
      </c>
      <c r="C41" s="8">
        <v>216</v>
      </c>
      <c r="D41" s="8">
        <v>291</v>
      </c>
      <c r="E41" s="8">
        <f t="shared" si="0"/>
        <v>75</v>
      </c>
    </row>
    <row r="42" spans="2:5" x14ac:dyDescent="0.2">
      <c r="B42" s="8">
        <v>37</v>
      </c>
      <c r="C42" s="8">
        <v>289</v>
      </c>
      <c r="D42" s="8">
        <v>368</v>
      </c>
      <c r="E42" s="8">
        <f t="shared" si="0"/>
        <v>79</v>
      </c>
    </row>
    <row r="43" spans="2:5" x14ac:dyDescent="0.2">
      <c r="B43" s="8">
        <v>38</v>
      </c>
      <c r="C43" s="8">
        <v>213</v>
      </c>
      <c r="D43" s="8">
        <v>206</v>
      </c>
      <c r="E43" s="8">
        <f t="shared" si="0"/>
        <v>-7</v>
      </c>
    </row>
    <row r="44" spans="2:5" x14ac:dyDescent="0.2">
      <c r="B44" s="8">
        <v>39</v>
      </c>
      <c r="C44" s="8">
        <v>209</v>
      </c>
      <c r="D44" s="8">
        <v>231</v>
      </c>
      <c r="E44" s="8">
        <f t="shared" si="0"/>
        <v>22</v>
      </c>
    </row>
    <row r="45" spans="2:5" x14ac:dyDescent="0.2">
      <c r="B45" s="8">
        <v>40</v>
      </c>
      <c r="C45" s="8">
        <v>376</v>
      </c>
      <c r="D45" s="8">
        <v>389</v>
      </c>
      <c r="E45" s="8">
        <f t="shared" si="0"/>
        <v>13</v>
      </c>
    </row>
    <row r="46" spans="2:5" x14ac:dyDescent="0.2">
      <c r="B46" s="8">
        <v>41</v>
      </c>
      <c r="C46" s="8">
        <v>332</v>
      </c>
      <c r="D46" s="8">
        <v>396</v>
      </c>
      <c r="E46" s="8">
        <f t="shared" si="0"/>
        <v>64</v>
      </c>
    </row>
    <row r="47" spans="2:5" x14ac:dyDescent="0.2">
      <c r="B47" s="8">
        <v>42</v>
      </c>
      <c r="C47" s="8">
        <v>249</v>
      </c>
      <c r="D47" s="8">
        <v>339</v>
      </c>
      <c r="E47" s="8">
        <f t="shared" si="0"/>
        <v>90</v>
      </c>
    </row>
    <row r="48" spans="2:5" x14ac:dyDescent="0.2">
      <c r="B48" s="8">
        <v>43</v>
      </c>
      <c r="C48" s="8">
        <v>228</v>
      </c>
      <c r="D48" s="8">
        <v>286</v>
      </c>
      <c r="E48" s="8">
        <f t="shared" si="0"/>
        <v>58</v>
      </c>
    </row>
    <row r="49" spans="2:5" x14ac:dyDescent="0.2">
      <c r="B49" s="8">
        <v>44</v>
      </c>
      <c r="C49" s="8">
        <v>124</v>
      </c>
      <c r="D49" s="8">
        <v>146</v>
      </c>
      <c r="E49" s="8">
        <f t="shared" si="0"/>
        <v>22</v>
      </c>
    </row>
    <row r="50" spans="2:5" x14ac:dyDescent="0.2">
      <c r="B50" s="8">
        <v>45</v>
      </c>
      <c r="C50" s="8">
        <v>194</v>
      </c>
      <c r="D50" s="8">
        <v>315</v>
      </c>
      <c r="E50" s="8">
        <f t="shared" si="0"/>
        <v>121</v>
      </c>
    </row>
    <row r="51" spans="2:5" x14ac:dyDescent="0.2">
      <c r="B51" s="8">
        <v>46</v>
      </c>
      <c r="C51" s="8">
        <v>157</v>
      </c>
      <c r="D51" s="8">
        <v>183</v>
      </c>
      <c r="E51" s="8">
        <f t="shared" si="0"/>
        <v>26</v>
      </c>
    </row>
    <row r="52" spans="2:5" x14ac:dyDescent="0.2">
      <c r="B52" s="8">
        <v>47</v>
      </c>
      <c r="C52" s="8">
        <v>402</v>
      </c>
      <c r="D52" s="8">
        <v>481</v>
      </c>
      <c r="E52" s="8">
        <f t="shared" si="0"/>
        <v>79</v>
      </c>
    </row>
    <row r="53" spans="2:5" x14ac:dyDescent="0.2">
      <c r="B53" s="8">
        <v>48</v>
      </c>
      <c r="C53" s="8">
        <v>323</v>
      </c>
      <c r="D53" s="8">
        <v>349</v>
      </c>
      <c r="E53" s="8">
        <f t="shared" si="0"/>
        <v>26</v>
      </c>
    </row>
    <row r="54" spans="2:5" x14ac:dyDescent="0.2">
      <c r="B54" s="8">
        <v>49</v>
      </c>
      <c r="C54" s="8">
        <v>181</v>
      </c>
      <c r="D54" s="8">
        <v>225</v>
      </c>
      <c r="E54" s="8">
        <f t="shared" si="0"/>
        <v>44</v>
      </c>
    </row>
    <row r="55" spans="2:5" x14ac:dyDescent="0.2">
      <c r="B55" s="8">
        <v>50</v>
      </c>
      <c r="C55" s="8">
        <v>157</v>
      </c>
      <c r="D55" s="8">
        <v>217</v>
      </c>
      <c r="E55" s="8">
        <f t="shared" si="0"/>
        <v>60</v>
      </c>
    </row>
    <row r="56" spans="2:5" x14ac:dyDescent="0.2">
      <c r="B56" s="8">
        <v>51</v>
      </c>
      <c r="C56" s="8">
        <v>266</v>
      </c>
      <c r="D56" s="8">
        <v>353</v>
      </c>
      <c r="E56" s="8">
        <f t="shared" si="0"/>
        <v>87</v>
      </c>
    </row>
    <row r="57" spans="2:5" x14ac:dyDescent="0.2">
      <c r="B57" s="8">
        <v>52</v>
      </c>
      <c r="C57" s="8">
        <v>268</v>
      </c>
      <c r="D57" s="8">
        <v>314</v>
      </c>
      <c r="E57" s="8">
        <f t="shared" si="0"/>
        <v>46</v>
      </c>
    </row>
    <row r="58" spans="2:5" x14ac:dyDescent="0.2">
      <c r="B58" s="8">
        <v>53</v>
      </c>
      <c r="C58" s="8">
        <v>167</v>
      </c>
      <c r="D58" s="8">
        <v>247</v>
      </c>
      <c r="E58" s="8">
        <f t="shared" si="0"/>
        <v>80</v>
      </c>
    </row>
    <row r="59" spans="2:5" x14ac:dyDescent="0.2">
      <c r="B59" s="8">
        <v>54</v>
      </c>
      <c r="C59" s="8">
        <v>342</v>
      </c>
      <c r="D59" s="8">
        <v>410</v>
      </c>
      <c r="E59" s="8">
        <f t="shared" si="0"/>
        <v>68</v>
      </c>
    </row>
    <row r="60" spans="2:5" x14ac:dyDescent="0.2">
      <c r="B60" s="8">
        <v>55</v>
      </c>
      <c r="C60" s="8">
        <v>349</v>
      </c>
      <c r="D60" s="8">
        <v>395</v>
      </c>
      <c r="E60" s="8">
        <f t="shared" si="0"/>
        <v>46</v>
      </c>
    </row>
    <row r="61" spans="2:5" x14ac:dyDescent="0.2">
      <c r="B61" s="8">
        <v>56</v>
      </c>
      <c r="C61" s="8">
        <v>340</v>
      </c>
      <c r="D61" s="8">
        <v>416</v>
      </c>
      <c r="E61" s="8">
        <f t="shared" si="0"/>
        <v>76</v>
      </c>
    </row>
    <row r="62" spans="2:5" x14ac:dyDescent="0.2">
      <c r="B62" s="8">
        <v>57</v>
      </c>
      <c r="C62" s="8">
        <v>227</v>
      </c>
      <c r="D62" s="8">
        <v>342</v>
      </c>
      <c r="E62" s="8">
        <f t="shared" si="0"/>
        <v>115</v>
      </c>
    </row>
    <row r="63" spans="2:5" x14ac:dyDescent="0.2">
      <c r="B63" s="8">
        <v>58</v>
      </c>
      <c r="C63" s="8">
        <v>409</v>
      </c>
      <c r="D63" s="8">
        <v>446</v>
      </c>
      <c r="E63" s="8">
        <f t="shared" si="0"/>
        <v>37</v>
      </c>
    </row>
    <row r="64" spans="2:5" x14ac:dyDescent="0.2">
      <c r="B64" s="8">
        <v>59</v>
      </c>
      <c r="C64" s="8">
        <v>400</v>
      </c>
      <c r="D64" s="8">
        <v>477</v>
      </c>
      <c r="E64" s="8">
        <f t="shared" si="0"/>
        <v>77</v>
      </c>
    </row>
    <row r="65" spans="2:5" x14ac:dyDescent="0.2">
      <c r="B65" s="8">
        <v>60</v>
      </c>
      <c r="C65" s="8">
        <v>374</v>
      </c>
      <c r="D65" s="8">
        <v>444</v>
      </c>
      <c r="E65" s="8">
        <f t="shared" si="0"/>
        <v>70</v>
      </c>
    </row>
    <row r="66" spans="2:5" x14ac:dyDescent="0.2">
      <c r="B66" s="8">
        <v>61</v>
      </c>
      <c r="C66" s="8">
        <v>255</v>
      </c>
      <c r="D66" s="8">
        <v>351</v>
      </c>
      <c r="E66" s="8">
        <f t="shared" si="0"/>
        <v>96</v>
      </c>
    </row>
    <row r="67" spans="2:5" x14ac:dyDescent="0.2">
      <c r="B67" s="8">
        <v>62</v>
      </c>
      <c r="C67" s="8">
        <v>146</v>
      </c>
      <c r="D67" s="8">
        <v>165</v>
      </c>
      <c r="E67" s="8">
        <f t="shared" si="0"/>
        <v>19</v>
      </c>
    </row>
    <row r="68" spans="2:5" x14ac:dyDescent="0.2">
      <c r="B68" s="8">
        <v>63</v>
      </c>
      <c r="C68" s="8">
        <v>248</v>
      </c>
      <c r="D68" s="8">
        <v>317</v>
      </c>
      <c r="E68" s="8">
        <f t="shared" si="0"/>
        <v>69</v>
      </c>
    </row>
    <row r="69" spans="2:5" x14ac:dyDescent="0.2">
      <c r="B69" s="8">
        <v>64</v>
      </c>
      <c r="C69" s="8">
        <v>198</v>
      </c>
      <c r="D69" s="8">
        <v>250</v>
      </c>
      <c r="E69" s="8">
        <f t="shared" si="0"/>
        <v>52</v>
      </c>
    </row>
    <row r="70" spans="2:5" x14ac:dyDescent="0.2">
      <c r="B70" s="8">
        <v>65</v>
      </c>
      <c r="C70" s="8">
        <v>210</v>
      </c>
      <c r="D70" s="8">
        <v>217</v>
      </c>
      <c r="E70" s="8">
        <f t="shared" si="0"/>
        <v>7</v>
      </c>
    </row>
    <row r="71" spans="2:5" x14ac:dyDescent="0.2">
      <c r="B71" s="8">
        <v>66</v>
      </c>
      <c r="C71" s="8">
        <v>107</v>
      </c>
      <c r="D71" s="8">
        <v>138</v>
      </c>
      <c r="E71" s="8">
        <f t="shared" ref="E71:E100" si="1">D71-C71</f>
        <v>31</v>
      </c>
    </row>
    <row r="72" spans="2:5" x14ac:dyDescent="0.2">
      <c r="B72" s="8">
        <v>67</v>
      </c>
      <c r="C72" s="8">
        <v>239</v>
      </c>
      <c r="D72" s="8">
        <v>302</v>
      </c>
      <c r="E72" s="8">
        <f t="shared" si="1"/>
        <v>63</v>
      </c>
    </row>
    <row r="73" spans="2:5" x14ac:dyDescent="0.2">
      <c r="B73" s="8">
        <v>68</v>
      </c>
      <c r="C73" s="8">
        <v>287</v>
      </c>
      <c r="D73" s="8">
        <v>311</v>
      </c>
      <c r="E73" s="8">
        <f t="shared" si="1"/>
        <v>24</v>
      </c>
    </row>
    <row r="74" spans="2:5" x14ac:dyDescent="0.2">
      <c r="B74" s="8">
        <v>69</v>
      </c>
      <c r="C74" s="8">
        <v>340</v>
      </c>
      <c r="D74" s="8">
        <v>373</v>
      </c>
      <c r="E74" s="8">
        <f t="shared" si="1"/>
        <v>33</v>
      </c>
    </row>
    <row r="75" spans="2:5" x14ac:dyDescent="0.2">
      <c r="B75" s="8">
        <v>70</v>
      </c>
      <c r="C75" s="8">
        <v>155</v>
      </c>
      <c r="D75" s="8">
        <v>196</v>
      </c>
      <c r="E75" s="8">
        <f t="shared" si="1"/>
        <v>41</v>
      </c>
    </row>
    <row r="76" spans="2:5" x14ac:dyDescent="0.2">
      <c r="B76" s="8">
        <v>71</v>
      </c>
      <c r="C76" s="8">
        <v>263</v>
      </c>
      <c r="D76" s="8">
        <v>306</v>
      </c>
      <c r="E76" s="8">
        <f t="shared" si="1"/>
        <v>43</v>
      </c>
    </row>
    <row r="77" spans="2:5" x14ac:dyDescent="0.2">
      <c r="B77" s="8">
        <v>72</v>
      </c>
      <c r="C77" s="8">
        <v>265</v>
      </c>
      <c r="D77" s="8">
        <v>302</v>
      </c>
      <c r="E77" s="8">
        <f t="shared" si="1"/>
        <v>37</v>
      </c>
    </row>
    <row r="78" spans="2:5" x14ac:dyDescent="0.2">
      <c r="B78" s="8">
        <v>73</v>
      </c>
      <c r="C78" s="8">
        <v>249</v>
      </c>
      <c r="D78" s="8">
        <v>278</v>
      </c>
      <c r="E78" s="8">
        <f t="shared" si="1"/>
        <v>29</v>
      </c>
    </row>
    <row r="79" spans="2:5" x14ac:dyDescent="0.2">
      <c r="B79" s="8">
        <v>74</v>
      </c>
      <c r="C79" s="8">
        <v>377</v>
      </c>
      <c r="D79" s="8">
        <v>429</v>
      </c>
      <c r="E79" s="8">
        <f t="shared" si="1"/>
        <v>52</v>
      </c>
    </row>
    <row r="80" spans="2:5" x14ac:dyDescent="0.2">
      <c r="B80" s="8">
        <v>75</v>
      </c>
      <c r="C80" s="8">
        <v>301</v>
      </c>
      <c r="D80" s="8">
        <v>338</v>
      </c>
      <c r="E80" s="8">
        <f t="shared" si="1"/>
        <v>37</v>
      </c>
    </row>
    <row r="81" spans="2:5" x14ac:dyDescent="0.2">
      <c r="B81" s="8">
        <v>76</v>
      </c>
      <c r="C81" s="8">
        <v>242</v>
      </c>
      <c r="D81" s="8">
        <v>261</v>
      </c>
      <c r="E81" s="8">
        <f t="shared" si="1"/>
        <v>19</v>
      </c>
    </row>
    <row r="82" spans="2:5" x14ac:dyDescent="0.2">
      <c r="B82" s="8">
        <v>77</v>
      </c>
      <c r="C82" s="8">
        <v>211</v>
      </c>
      <c r="D82" s="8">
        <v>256</v>
      </c>
      <c r="E82" s="8">
        <f t="shared" si="1"/>
        <v>45</v>
      </c>
    </row>
    <row r="83" spans="2:5" x14ac:dyDescent="0.2">
      <c r="B83" s="8">
        <v>78</v>
      </c>
      <c r="C83" s="8">
        <v>160</v>
      </c>
      <c r="D83" s="8">
        <v>183</v>
      </c>
      <c r="E83" s="8">
        <f t="shared" si="1"/>
        <v>23</v>
      </c>
    </row>
    <row r="84" spans="2:5" x14ac:dyDescent="0.2">
      <c r="B84" s="8">
        <v>79</v>
      </c>
      <c r="C84" s="8">
        <v>218</v>
      </c>
      <c r="D84" s="8">
        <v>274</v>
      </c>
      <c r="E84" s="8">
        <f t="shared" si="1"/>
        <v>56</v>
      </c>
    </row>
    <row r="85" spans="2:5" x14ac:dyDescent="0.2">
      <c r="B85" s="8">
        <v>80</v>
      </c>
      <c r="C85" s="8">
        <v>133</v>
      </c>
      <c r="D85" s="8">
        <v>182</v>
      </c>
      <c r="E85" s="8">
        <f t="shared" si="1"/>
        <v>49</v>
      </c>
    </row>
    <row r="86" spans="2:5" x14ac:dyDescent="0.2">
      <c r="B86" s="8">
        <v>81</v>
      </c>
      <c r="C86" s="8">
        <v>122</v>
      </c>
      <c r="D86" s="8">
        <v>183</v>
      </c>
      <c r="E86" s="8">
        <f t="shared" si="1"/>
        <v>61</v>
      </c>
    </row>
    <row r="87" spans="2:5" x14ac:dyDescent="0.2">
      <c r="B87" s="8">
        <v>82</v>
      </c>
      <c r="C87" s="8">
        <v>236</v>
      </c>
      <c r="D87" s="8">
        <v>309</v>
      </c>
      <c r="E87" s="8">
        <f t="shared" si="1"/>
        <v>73</v>
      </c>
    </row>
    <row r="88" spans="2:5" x14ac:dyDescent="0.2">
      <c r="B88" s="8">
        <v>83</v>
      </c>
      <c r="C88" s="8">
        <v>143</v>
      </c>
      <c r="D88" s="8">
        <v>178</v>
      </c>
      <c r="E88" s="8">
        <f t="shared" si="1"/>
        <v>35</v>
      </c>
    </row>
    <row r="89" spans="2:5" x14ac:dyDescent="0.2">
      <c r="B89" s="8">
        <v>84</v>
      </c>
      <c r="C89" s="8">
        <v>354</v>
      </c>
      <c r="D89" s="8">
        <v>458</v>
      </c>
      <c r="E89" s="8">
        <f t="shared" si="1"/>
        <v>104</v>
      </c>
    </row>
    <row r="90" spans="2:5" x14ac:dyDescent="0.2">
      <c r="B90" s="8">
        <v>85</v>
      </c>
      <c r="C90" s="8">
        <v>214</v>
      </c>
      <c r="D90" s="8">
        <v>234</v>
      </c>
      <c r="E90" s="8">
        <f t="shared" si="1"/>
        <v>20</v>
      </c>
    </row>
    <row r="91" spans="2:5" x14ac:dyDescent="0.2">
      <c r="B91" s="8">
        <v>86</v>
      </c>
      <c r="C91" s="8">
        <v>225</v>
      </c>
      <c r="D91" s="8">
        <v>306</v>
      </c>
      <c r="E91" s="8">
        <f t="shared" si="1"/>
        <v>81</v>
      </c>
    </row>
    <row r="92" spans="2:5" x14ac:dyDescent="0.2">
      <c r="B92" s="8">
        <v>87</v>
      </c>
      <c r="C92" s="8">
        <v>261</v>
      </c>
      <c r="D92" s="8">
        <v>400</v>
      </c>
      <c r="E92" s="8">
        <f t="shared" si="1"/>
        <v>139</v>
      </c>
    </row>
    <row r="93" spans="2:5" x14ac:dyDescent="0.2">
      <c r="B93" s="8">
        <v>88</v>
      </c>
      <c r="C93" s="8">
        <v>277</v>
      </c>
      <c r="D93" s="8">
        <v>337</v>
      </c>
      <c r="E93" s="8">
        <f t="shared" si="1"/>
        <v>60</v>
      </c>
    </row>
    <row r="94" spans="2:5" x14ac:dyDescent="0.2">
      <c r="B94" s="8">
        <v>89</v>
      </c>
      <c r="C94" s="8">
        <v>282</v>
      </c>
      <c r="D94" s="8">
        <v>325</v>
      </c>
      <c r="E94" s="8">
        <f t="shared" si="1"/>
        <v>43</v>
      </c>
    </row>
    <row r="95" spans="2:5" x14ac:dyDescent="0.2">
      <c r="B95" s="8">
        <v>90</v>
      </c>
      <c r="C95" s="8">
        <v>322</v>
      </c>
      <c r="D95" s="8">
        <v>329</v>
      </c>
      <c r="E95" s="8">
        <f t="shared" si="1"/>
        <v>7</v>
      </c>
    </row>
    <row r="96" spans="2:5" x14ac:dyDescent="0.2">
      <c r="B96" s="8">
        <v>91</v>
      </c>
      <c r="C96" s="8">
        <v>326</v>
      </c>
      <c r="D96" s="8">
        <v>369</v>
      </c>
      <c r="E96" s="8">
        <f t="shared" si="1"/>
        <v>43</v>
      </c>
    </row>
    <row r="97" spans="2:5" x14ac:dyDescent="0.2">
      <c r="B97" s="8">
        <v>92</v>
      </c>
      <c r="C97" s="8">
        <v>421</v>
      </c>
      <c r="D97" s="8">
        <v>457</v>
      </c>
      <c r="E97" s="8">
        <f t="shared" si="1"/>
        <v>36</v>
      </c>
    </row>
    <row r="98" spans="2:5" x14ac:dyDescent="0.2">
      <c r="B98" s="8">
        <v>93</v>
      </c>
      <c r="C98" s="8">
        <v>368</v>
      </c>
      <c r="D98" s="8">
        <v>421</v>
      </c>
      <c r="E98" s="8">
        <f t="shared" si="1"/>
        <v>53</v>
      </c>
    </row>
    <row r="99" spans="2:5" x14ac:dyDescent="0.2">
      <c r="B99" s="8">
        <v>94</v>
      </c>
      <c r="C99" s="8">
        <v>279</v>
      </c>
      <c r="D99" s="8">
        <v>282</v>
      </c>
      <c r="E99" s="8">
        <f t="shared" si="1"/>
        <v>3</v>
      </c>
    </row>
    <row r="100" spans="2:5" x14ac:dyDescent="0.2">
      <c r="B100" s="8">
        <v>95</v>
      </c>
      <c r="C100" s="8">
        <v>268</v>
      </c>
      <c r="D100" s="8">
        <v>256</v>
      </c>
      <c r="E100" s="8">
        <f t="shared" si="1"/>
        <v>-12</v>
      </c>
    </row>
  </sheetData>
  <mergeCells count="5">
    <mergeCell ref="O5:P5"/>
    <mergeCell ref="G5:J5"/>
    <mergeCell ref="L5:M5"/>
    <mergeCell ref="R5:S5"/>
    <mergeCell ref="U6:U11"/>
  </mergeCells>
  <dataValidations count="2">
    <dataValidation type="list" allowBlank="1" showInputMessage="1" showErrorMessage="1" sqref="I6" xr:uid="{B0131BD9-AE3C-428A-B166-B3EB67CBD5D9}">
      <formula1>$W$5:$W$7</formula1>
    </dataValidation>
    <dataValidation type="list" allowBlank="1" showInputMessage="1" showErrorMessage="1" sqref="I7" xr:uid="{7BDFF30B-D467-42C2-B9ED-F433BABB5E6A}">
      <formula1>$X$5:$X$7</formula1>
    </dataValidation>
  </dataValidations>
  <pageMargins left="0.7" right="0.7" top="0.75" bottom="0.75" header="0.3" footer="0.3"/>
  <pageSetup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6C53D-5752-4175-8D2F-8217894F78FB}">
  <sheetPr codeName="Sheet47">
    <tabColor theme="7" tint="0.59999389629810485"/>
  </sheetPr>
  <dimension ref="B1:Z58"/>
  <sheetViews>
    <sheetView showGridLines="0" topLeftCell="J1" workbookViewId="0">
      <selection activeCell="W22" sqref="W22"/>
    </sheetView>
  </sheetViews>
  <sheetFormatPr baseColWidth="10" defaultColWidth="8.83203125" defaultRowHeight="15" x14ac:dyDescent="0.2"/>
  <cols>
    <col min="1" max="1" width="2.83203125" customWidth="1"/>
    <col min="2" max="2" width="15.6640625" bestFit="1" customWidth="1"/>
    <col min="3" max="3" width="12.6640625" bestFit="1" customWidth="1"/>
    <col min="5" max="5" width="15.5" bestFit="1" customWidth="1"/>
    <col min="6" max="7" width="14.33203125" customWidth="1"/>
    <col min="9" max="10" width="11.5" customWidth="1"/>
    <col min="12" max="12" width="6.5" customWidth="1"/>
    <col min="13" max="13" width="5.5" bestFit="1" customWidth="1"/>
    <col min="14" max="14" width="2.83203125" customWidth="1"/>
    <col min="15" max="15" width="9.1640625" customWidth="1"/>
    <col min="17" max="17" width="11.5" customWidth="1"/>
    <col min="20" max="20" width="21.1640625" bestFit="1" customWidth="1"/>
    <col min="21" max="21" width="11.6640625" bestFit="1" customWidth="1"/>
    <col min="23" max="23" width="57.1640625" customWidth="1"/>
    <col min="25" max="26" width="0" hidden="1" customWidth="1"/>
  </cols>
  <sheetData>
    <row r="1" spans="2:26" ht="25.5" customHeight="1" x14ac:dyDescent="0.25">
      <c r="B1" s="18" t="s">
        <v>218</v>
      </c>
    </row>
    <row r="2" spans="2:26" ht="15" customHeight="1" x14ac:dyDescent="0.2">
      <c r="B2" s="30" t="s">
        <v>217</v>
      </c>
    </row>
    <row r="3" spans="2:26" ht="18" customHeight="1" x14ac:dyDescent="0.2"/>
    <row r="4" spans="2:26" x14ac:dyDescent="0.2">
      <c r="E4" s="3" t="s">
        <v>53</v>
      </c>
      <c r="I4" s="3" t="s">
        <v>54</v>
      </c>
      <c r="L4" s="3"/>
      <c r="T4" s="3" t="s">
        <v>54</v>
      </c>
    </row>
    <row r="5" spans="2:26" x14ac:dyDescent="0.2">
      <c r="B5" s="43" t="s">
        <v>21</v>
      </c>
      <c r="C5" s="41" t="s">
        <v>35</v>
      </c>
      <c r="E5" s="116" t="s">
        <v>139</v>
      </c>
      <c r="F5" s="116"/>
      <c r="G5" s="116"/>
      <c r="I5" s="115" t="s">
        <v>179</v>
      </c>
      <c r="J5" s="115"/>
      <c r="L5" s="117" t="s">
        <v>199</v>
      </c>
      <c r="M5" s="117"/>
      <c r="N5" s="117"/>
      <c r="O5" s="117"/>
      <c r="Q5" s="117" t="s">
        <v>201</v>
      </c>
      <c r="R5" s="117"/>
      <c r="T5" s="115" t="s">
        <v>204</v>
      </c>
      <c r="U5" s="115"/>
      <c r="W5" s="50" t="s">
        <v>203</v>
      </c>
    </row>
    <row r="6" spans="2:26" ht="17" x14ac:dyDescent="0.25">
      <c r="B6" s="51" t="s">
        <v>25</v>
      </c>
      <c r="C6" s="52">
        <v>111000</v>
      </c>
      <c r="F6" s="17" t="s">
        <v>27</v>
      </c>
      <c r="G6" s="17" t="s">
        <v>25</v>
      </c>
      <c r="I6" s="20" t="s">
        <v>180</v>
      </c>
      <c r="J6" s="80">
        <f>F9-G9</f>
        <v>7744.2810457516316</v>
      </c>
      <c r="L6" s="20" t="s">
        <v>195</v>
      </c>
      <c r="M6" s="89" t="s">
        <v>216</v>
      </c>
      <c r="N6" s="89" t="s">
        <v>209</v>
      </c>
      <c r="O6" s="90">
        <v>0</v>
      </c>
      <c r="Q6" s="20" t="s">
        <v>143</v>
      </c>
      <c r="R6" s="71">
        <v>0.01</v>
      </c>
      <c r="T6" s="20" t="s">
        <v>146</v>
      </c>
      <c r="U6" s="80">
        <f>SQRT(F11+G11)</f>
        <v>15739.713009442163</v>
      </c>
      <c r="W6" s="118" t="s">
        <v>346</v>
      </c>
      <c r="Y6" s="95" t="s">
        <v>198</v>
      </c>
      <c r="Z6" s="92" t="s">
        <v>200</v>
      </c>
    </row>
    <row r="7" spans="2:26" ht="17" x14ac:dyDescent="0.25">
      <c r="B7" s="8" t="s">
        <v>27</v>
      </c>
      <c r="C7" s="12">
        <v>107000</v>
      </c>
      <c r="E7" s="20" t="s">
        <v>176</v>
      </c>
      <c r="F7" s="71">
        <f>COUNTIF(B6:B58,"yes")</f>
        <v>17</v>
      </c>
      <c r="G7" s="71">
        <f>COUNTIF(B6:B58,"no")</f>
        <v>36</v>
      </c>
      <c r="L7" s="20" t="s">
        <v>196</v>
      </c>
      <c r="M7" s="89" t="s">
        <v>216</v>
      </c>
      <c r="N7" s="89" t="s">
        <v>210</v>
      </c>
      <c r="O7" s="90">
        <v>0</v>
      </c>
      <c r="Q7" s="20"/>
      <c r="R7" s="1"/>
      <c r="T7" s="20" t="s">
        <v>202</v>
      </c>
      <c r="U7" s="91">
        <f>(J6-O6)/U6</f>
        <v>0.49202174404996346</v>
      </c>
      <c r="W7" s="118"/>
      <c r="Y7" s="92" t="s">
        <v>311</v>
      </c>
      <c r="Z7" t="s">
        <v>312</v>
      </c>
    </row>
    <row r="8" spans="2:26" x14ac:dyDescent="0.2">
      <c r="B8" s="8" t="s">
        <v>25</v>
      </c>
      <c r="C8" s="12">
        <v>109000</v>
      </c>
      <c r="E8" s="20" t="s">
        <v>184</v>
      </c>
      <c r="F8" s="71">
        <f>F7-1</f>
        <v>16</v>
      </c>
      <c r="G8" s="71">
        <f>G7-1</f>
        <v>35</v>
      </c>
      <c r="L8" s="20"/>
      <c r="M8" s="36"/>
      <c r="N8" s="36"/>
      <c r="O8" s="36"/>
      <c r="T8" s="20" t="s">
        <v>181</v>
      </c>
      <c r="U8" s="75">
        <f>SUM(F11:G11)^2/SUM(F11^2/F8,G11^2/G8)</f>
        <v>22.42997073029013</v>
      </c>
      <c r="W8" s="118"/>
      <c r="Y8" s="92" t="s">
        <v>209</v>
      </c>
      <c r="Z8" t="s">
        <v>210</v>
      </c>
    </row>
    <row r="9" spans="2:26" x14ac:dyDescent="0.2">
      <c r="B9" s="8" t="s">
        <v>25</v>
      </c>
      <c r="C9" s="12">
        <v>148000</v>
      </c>
      <c r="E9" s="20" t="s">
        <v>177</v>
      </c>
      <c r="F9" s="80">
        <f>AVERAGEIFS(C6:C58,B6:B58,"Yes")</f>
        <v>124647.05882352941</v>
      </c>
      <c r="G9" s="80">
        <f>AVERAGEIFS(C6:C58,B6:B58,"No")</f>
        <v>116902.77777777778</v>
      </c>
      <c r="L9" s="20"/>
      <c r="M9" s="37"/>
      <c r="N9" s="37"/>
      <c r="O9" s="37"/>
      <c r="T9" s="20" t="s">
        <v>207</v>
      </c>
      <c r="U9" s="70">
        <f>_xlfn.T.DIST.RT(U7,U8)</f>
        <v>0.31378889492074441</v>
      </c>
      <c r="W9" s="118"/>
    </row>
    <row r="10" spans="2:26" ht="17" x14ac:dyDescent="0.2">
      <c r="B10" s="8" t="s">
        <v>25</v>
      </c>
      <c r="C10" s="12">
        <v>255500</v>
      </c>
      <c r="E10" s="20" t="s">
        <v>178</v>
      </c>
      <c r="F10" s="74" cm="1">
        <f t="array" ref="F10">_xlfn.STDEV.S(IF(B6:B58="Yes",C6:C58))^2</f>
        <v>3526773897.0588222</v>
      </c>
      <c r="G10" s="74" cm="1">
        <f t="array" ref="G10">_xlfn.STDEV.S(IF(B6:B58="No",C6:C58))^2</f>
        <v>1450125992.0634921</v>
      </c>
      <c r="L10" s="20"/>
      <c r="M10" s="22"/>
      <c r="N10" s="22"/>
      <c r="O10" s="22"/>
      <c r="W10" s="118"/>
    </row>
    <row r="11" spans="2:26" ht="17" x14ac:dyDescent="0.2">
      <c r="B11" s="8" t="s">
        <v>25</v>
      </c>
      <c r="C11" s="12">
        <v>103500</v>
      </c>
      <c r="E11" s="20" t="s">
        <v>183</v>
      </c>
      <c r="F11" s="74">
        <f>F10/F7</f>
        <v>207457288.06228366</v>
      </c>
      <c r="G11" s="74">
        <f>G10/G7</f>
        <v>40281277.557319224</v>
      </c>
      <c r="L11" s="20"/>
      <c r="M11" s="22"/>
      <c r="N11" s="22"/>
      <c r="O11" s="22"/>
      <c r="W11" s="118"/>
    </row>
    <row r="12" spans="2:26" x14ac:dyDescent="0.2">
      <c r="B12" s="8" t="s">
        <v>25</v>
      </c>
      <c r="C12" s="12">
        <v>114500</v>
      </c>
    </row>
    <row r="13" spans="2:26" x14ac:dyDescent="0.2">
      <c r="B13" s="8" t="s">
        <v>25</v>
      </c>
      <c r="C13" s="12">
        <v>124000</v>
      </c>
    </row>
    <row r="14" spans="2:26" x14ac:dyDescent="0.2">
      <c r="B14" s="8" t="s">
        <v>25</v>
      </c>
      <c r="C14" s="12">
        <v>132500</v>
      </c>
    </row>
    <row r="15" spans="2:26" x14ac:dyDescent="0.2">
      <c r="B15" s="8" t="s">
        <v>25</v>
      </c>
      <c r="C15" s="12">
        <v>99000</v>
      </c>
    </row>
    <row r="16" spans="2:26" x14ac:dyDescent="0.2">
      <c r="B16" s="8" t="s">
        <v>25</v>
      </c>
      <c r="C16" s="12">
        <v>124000</v>
      </c>
    </row>
    <row r="17" spans="2:3" x14ac:dyDescent="0.2">
      <c r="B17" s="8" t="s">
        <v>25</v>
      </c>
      <c r="C17" s="12">
        <v>82000</v>
      </c>
    </row>
    <row r="18" spans="2:3" x14ac:dyDescent="0.2">
      <c r="B18" s="8" t="s">
        <v>25</v>
      </c>
      <c r="C18" s="12">
        <v>185000</v>
      </c>
    </row>
    <row r="19" spans="2:3" x14ac:dyDescent="0.2">
      <c r="B19" s="8" t="s">
        <v>25</v>
      </c>
      <c r="C19" s="12">
        <v>89500</v>
      </c>
    </row>
    <row r="20" spans="2:3" x14ac:dyDescent="0.2">
      <c r="B20" s="8" t="s">
        <v>25</v>
      </c>
      <c r="C20" s="12">
        <v>91500</v>
      </c>
    </row>
    <row r="21" spans="2:3" x14ac:dyDescent="0.2">
      <c r="B21" s="8" t="s">
        <v>25</v>
      </c>
      <c r="C21" s="12">
        <v>113500</v>
      </c>
    </row>
    <row r="22" spans="2:3" x14ac:dyDescent="0.2">
      <c r="B22" s="8" t="s">
        <v>27</v>
      </c>
      <c r="C22" s="12">
        <v>99000</v>
      </c>
    </row>
    <row r="23" spans="2:3" x14ac:dyDescent="0.2">
      <c r="B23" s="8" t="s">
        <v>25</v>
      </c>
      <c r="C23" s="12">
        <v>75500</v>
      </c>
    </row>
    <row r="24" spans="2:3" x14ac:dyDescent="0.2">
      <c r="B24" s="8" t="s">
        <v>27</v>
      </c>
      <c r="C24" s="12">
        <v>86000</v>
      </c>
    </row>
    <row r="25" spans="2:3" x14ac:dyDescent="0.2">
      <c r="B25" s="8" t="s">
        <v>25</v>
      </c>
      <c r="C25" s="12">
        <v>156500</v>
      </c>
    </row>
    <row r="26" spans="2:3" x14ac:dyDescent="0.2">
      <c r="B26" s="8" t="s">
        <v>27</v>
      </c>
      <c r="C26" s="12">
        <v>99500</v>
      </c>
    </row>
    <row r="27" spans="2:3" x14ac:dyDescent="0.2">
      <c r="B27" s="8" t="s">
        <v>27</v>
      </c>
      <c r="C27" s="12">
        <v>148000</v>
      </c>
    </row>
    <row r="28" spans="2:3" x14ac:dyDescent="0.2">
      <c r="B28" s="8" t="s">
        <v>25</v>
      </c>
      <c r="C28" s="12">
        <v>82000</v>
      </c>
    </row>
    <row r="29" spans="2:3" x14ac:dyDescent="0.2">
      <c r="B29" s="8" t="s">
        <v>25</v>
      </c>
      <c r="C29" s="12">
        <v>103500</v>
      </c>
    </row>
    <row r="30" spans="2:3" x14ac:dyDescent="0.2">
      <c r="B30" s="8" t="s">
        <v>25</v>
      </c>
      <c r="C30" s="12">
        <v>205500</v>
      </c>
    </row>
    <row r="31" spans="2:3" x14ac:dyDescent="0.2">
      <c r="B31" s="8" t="s">
        <v>25</v>
      </c>
      <c r="C31" s="12">
        <v>103500</v>
      </c>
    </row>
    <row r="32" spans="2:3" x14ac:dyDescent="0.2">
      <c r="B32" s="8" t="s">
        <v>27</v>
      </c>
      <c r="C32" s="12">
        <v>340000</v>
      </c>
    </row>
    <row r="33" spans="2:3" x14ac:dyDescent="0.2">
      <c r="B33" s="8" t="s">
        <v>27</v>
      </c>
      <c r="C33" s="12">
        <v>103500</v>
      </c>
    </row>
    <row r="34" spans="2:3" x14ac:dyDescent="0.2">
      <c r="B34" s="8" t="s">
        <v>27</v>
      </c>
      <c r="C34" s="12">
        <v>99500</v>
      </c>
    </row>
    <row r="35" spans="2:3" x14ac:dyDescent="0.2">
      <c r="B35" s="8" t="s">
        <v>27</v>
      </c>
      <c r="C35" s="12">
        <v>103000</v>
      </c>
    </row>
    <row r="36" spans="2:3" x14ac:dyDescent="0.2">
      <c r="B36" s="8" t="s">
        <v>25</v>
      </c>
      <c r="C36" s="12">
        <v>103500</v>
      </c>
    </row>
    <row r="37" spans="2:3" x14ac:dyDescent="0.2">
      <c r="B37" s="8" t="s">
        <v>27</v>
      </c>
      <c r="C37" s="12">
        <v>165000</v>
      </c>
    </row>
    <row r="38" spans="2:3" x14ac:dyDescent="0.2">
      <c r="B38" s="8" t="s">
        <v>27</v>
      </c>
      <c r="C38" s="12">
        <v>124500</v>
      </c>
    </row>
    <row r="39" spans="2:3" x14ac:dyDescent="0.2">
      <c r="B39" s="8" t="s">
        <v>27</v>
      </c>
      <c r="C39" s="12">
        <v>103500</v>
      </c>
    </row>
    <row r="40" spans="2:3" x14ac:dyDescent="0.2">
      <c r="B40" s="8" t="s">
        <v>25</v>
      </c>
      <c r="C40" s="12">
        <v>82500</v>
      </c>
    </row>
    <row r="41" spans="2:3" x14ac:dyDescent="0.2">
      <c r="B41" s="8" t="s">
        <v>25</v>
      </c>
      <c r="C41" s="12">
        <v>93000</v>
      </c>
    </row>
    <row r="42" spans="2:3" x14ac:dyDescent="0.2">
      <c r="B42" s="8" t="s">
        <v>25</v>
      </c>
      <c r="C42" s="12">
        <v>168000</v>
      </c>
    </row>
    <row r="43" spans="2:3" x14ac:dyDescent="0.2">
      <c r="B43" s="8" t="s">
        <v>25</v>
      </c>
      <c r="C43" s="12">
        <v>96000</v>
      </c>
    </row>
    <row r="44" spans="2:3" x14ac:dyDescent="0.2">
      <c r="B44" s="8" t="s">
        <v>27</v>
      </c>
      <c r="C44" s="12">
        <v>80000</v>
      </c>
    </row>
    <row r="45" spans="2:3" x14ac:dyDescent="0.2">
      <c r="B45" s="8" t="s">
        <v>27</v>
      </c>
      <c r="C45" s="12">
        <v>124500</v>
      </c>
    </row>
    <row r="46" spans="2:3" x14ac:dyDescent="0.2">
      <c r="B46" s="8" t="s">
        <v>27</v>
      </c>
      <c r="C46" s="12">
        <v>99000</v>
      </c>
    </row>
    <row r="47" spans="2:3" x14ac:dyDescent="0.2">
      <c r="B47" s="8" t="s">
        <v>25</v>
      </c>
      <c r="C47" s="12">
        <v>124000</v>
      </c>
    </row>
    <row r="48" spans="2:3" x14ac:dyDescent="0.2">
      <c r="B48" s="8" t="s">
        <v>25</v>
      </c>
      <c r="C48" s="12">
        <v>91500</v>
      </c>
    </row>
    <row r="49" spans="2:3" x14ac:dyDescent="0.2">
      <c r="B49" s="8" t="s">
        <v>25</v>
      </c>
      <c r="C49" s="12">
        <v>144500</v>
      </c>
    </row>
    <row r="50" spans="2:3" x14ac:dyDescent="0.2">
      <c r="B50" s="8" t="s">
        <v>25</v>
      </c>
      <c r="C50" s="12">
        <v>114500</v>
      </c>
    </row>
    <row r="51" spans="2:3" x14ac:dyDescent="0.2">
      <c r="B51" s="8" t="s">
        <v>25</v>
      </c>
      <c r="C51" s="12">
        <v>104500</v>
      </c>
    </row>
    <row r="52" spans="2:3" x14ac:dyDescent="0.2">
      <c r="B52" s="8" t="s">
        <v>27</v>
      </c>
      <c r="C52" s="12">
        <v>124000</v>
      </c>
    </row>
    <row r="53" spans="2:3" x14ac:dyDescent="0.2">
      <c r="B53" s="8" t="s">
        <v>27</v>
      </c>
      <c r="C53" s="12">
        <v>113000</v>
      </c>
    </row>
    <row r="54" spans="2:3" x14ac:dyDescent="0.2">
      <c r="B54" s="8" t="s">
        <v>25</v>
      </c>
      <c r="C54" s="12">
        <v>78000</v>
      </c>
    </row>
    <row r="55" spans="2:3" x14ac:dyDescent="0.2">
      <c r="B55" s="8" t="s">
        <v>25</v>
      </c>
      <c r="C55" s="12">
        <v>109000</v>
      </c>
    </row>
    <row r="56" spans="2:3" x14ac:dyDescent="0.2">
      <c r="B56" s="8" t="s">
        <v>25</v>
      </c>
      <c r="C56" s="12">
        <v>99500</v>
      </c>
    </row>
    <row r="57" spans="2:3" x14ac:dyDescent="0.2">
      <c r="B57" s="8" t="s">
        <v>25</v>
      </c>
      <c r="C57" s="12">
        <v>107000</v>
      </c>
    </row>
    <row r="58" spans="2:3" x14ac:dyDescent="0.2">
      <c r="B58" s="8" t="s">
        <v>25</v>
      </c>
      <c r="C58" s="12">
        <v>84000</v>
      </c>
    </row>
  </sheetData>
  <mergeCells count="6">
    <mergeCell ref="T5:U5"/>
    <mergeCell ref="W6:W11"/>
    <mergeCell ref="E5:G5"/>
    <mergeCell ref="I5:J5"/>
    <mergeCell ref="L5:O5"/>
    <mergeCell ref="Q5:R5"/>
  </mergeCells>
  <dataValidations count="2">
    <dataValidation type="list" allowBlank="1" showInputMessage="1" showErrorMessage="1" sqref="N6" xr:uid="{80786F4C-EFAD-475B-A267-3D35A985D790}">
      <formula1>$Y$6:$Y$8</formula1>
    </dataValidation>
    <dataValidation type="list" allowBlank="1" showInputMessage="1" showErrorMessage="1" sqref="N7" xr:uid="{763F53FC-4939-455D-9308-180433D28BA6}">
      <formula1>$Z$6:$Z$8</formula1>
    </dataValidation>
  </dataValidations>
  <pageMargins left="0.7" right="0.7" top="0.75" bottom="0.75" header="0.3" footer="0.3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E6489-8BB2-4099-9250-049C9004B49F}">
  <sheetPr codeName="Sheet48">
    <tabColor rgb="FFEFE5F7"/>
  </sheetPr>
  <dimension ref="B1:C100"/>
  <sheetViews>
    <sheetView showGridLines="0" topLeftCell="D1" workbookViewId="0">
      <selection activeCell="N35" sqref="N35"/>
    </sheetView>
  </sheetViews>
  <sheetFormatPr baseColWidth="10" defaultColWidth="8.83203125" defaultRowHeight="15" x14ac:dyDescent="0.2"/>
  <cols>
    <col min="1" max="1" width="2.83203125" customWidth="1"/>
    <col min="2" max="2" width="17.1640625" customWidth="1"/>
    <col min="3" max="3" width="11.5" customWidth="1"/>
  </cols>
  <sheetData>
    <row r="1" spans="2:3" ht="25.5" customHeight="1" x14ac:dyDescent="0.25">
      <c r="B1" s="18" t="s">
        <v>225</v>
      </c>
    </row>
    <row r="2" spans="2:3" ht="15" customHeight="1" x14ac:dyDescent="0.2">
      <c r="B2" s="30" t="s">
        <v>226</v>
      </c>
    </row>
    <row r="3" spans="2:3" ht="18" customHeight="1" x14ac:dyDescent="0.2"/>
    <row r="5" spans="2:3" x14ac:dyDescent="0.2">
      <c r="B5" s="43" t="s">
        <v>76</v>
      </c>
      <c r="C5" s="43" t="s">
        <v>77</v>
      </c>
    </row>
    <row r="6" spans="2:3" x14ac:dyDescent="0.2">
      <c r="B6" s="51">
        <v>68.400000000000006</v>
      </c>
      <c r="C6" s="51">
        <v>90.2</v>
      </c>
    </row>
    <row r="7" spans="2:3" x14ac:dyDescent="0.2">
      <c r="B7" s="8">
        <v>62.1</v>
      </c>
      <c r="C7" s="8">
        <v>92.8</v>
      </c>
    </row>
    <row r="8" spans="2:3" x14ac:dyDescent="0.2">
      <c r="B8" s="8">
        <v>70.2</v>
      </c>
      <c r="C8" s="8">
        <v>68.7</v>
      </c>
    </row>
    <row r="9" spans="2:3" x14ac:dyDescent="0.2">
      <c r="B9" s="8">
        <v>75.099999999999994</v>
      </c>
      <c r="C9" s="8">
        <v>80.7</v>
      </c>
    </row>
    <row r="10" spans="2:3" x14ac:dyDescent="0.2">
      <c r="B10" s="8">
        <v>60.9</v>
      </c>
      <c r="C10" s="8">
        <v>74.900000000000006</v>
      </c>
    </row>
    <row r="11" spans="2:3" x14ac:dyDescent="0.2">
      <c r="B11" s="8">
        <v>74.5</v>
      </c>
      <c r="C11" s="8">
        <v>80.7</v>
      </c>
    </row>
    <row r="12" spans="2:3" x14ac:dyDescent="0.2">
      <c r="B12" s="8">
        <v>76.400000000000006</v>
      </c>
      <c r="C12" s="8">
        <v>83.3</v>
      </c>
    </row>
    <row r="13" spans="2:3" x14ac:dyDescent="0.2">
      <c r="B13" s="8">
        <v>82.6</v>
      </c>
      <c r="C13" s="8">
        <v>88.7</v>
      </c>
    </row>
    <row r="14" spans="2:3" x14ac:dyDescent="0.2">
      <c r="B14" s="8">
        <v>76.900000000000006</v>
      </c>
      <c r="C14" s="8">
        <v>75.400000000000006</v>
      </c>
    </row>
    <row r="15" spans="2:3" x14ac:dyDescent="0.2">
      <c r="B15" s="8">
        <v>83.3</v>
      </c>
      <c r="C15" s="8">
        <v>82.1</v>
      </c>
    </row>
    <row r="16" spans="2:3" x14ac:dyDescent="0.2">
      <c r="B16" s="8">
        <v>75.8</v>
      </c>
      <c r="C16" s="8">
        <v>87.5</v>
      </c>
    </row>
    <row r="17" spans="2:3" x14ac:dyDescent="0.2">
      <c r="B17" s="8">
        <v>76</v>
      </c>
      <c r="C17" s="8">
        <v>66.900000000000006</v>
      </c>
    </row>
    <row r="18" spans="2:3" x14ac:dyDescent="0.2">
      <c r="B18" s="8">
        <v>62.8</v>
      </c>
      <c r="C18" s="8">
        <v>71.3</v>
      </c>
    </row>
    <row r="19" spans="2:3" x14ac:dyDescent="0.2">
      <c r="B19" s="8">
        <v>82.8</v>
      </c>
      <c r="C19" s="8">
        <v>76.8</v>
      </c>
    </row>
    <row r="20" spans="2:3" x14ac:dyDescent="0.2">
      <c r="B20" s="8">
        <v>76</v>
      </c>
      <c r="C20" s="8">
        <v>72.3</v>
      </c>
    </row>
    <row r="21" spans="2:3" x14ac:dyDescent="0.2">
      <c r="B21" s="8">
        <v>76.900000000000006</v>
      </c>
      <c r="C21" s="8">
        <v>72.400000000000006</v>
      </c>
    </row>
    <row r="22" spans="2:3" x14ac:dyDescent="0.2">
      <c r="B22" s="8">
        <v>75.8</v>
      </c>
      <c r="C22" s="8">
        <v>72</v>
      </c>
    </row>
    <row r="23" spans="2:3" x14ac:dyDescent="0.2">
      <c r="B23" s="8">
        <v>78</v>
      </c>
      <c r="C23" s="8">
        <v>81</v>
      </c>
    </row>
    <row r="24" spans="2:3" x14ac:dyDescent="0.2">
      <c r="B24" s="8">
        <v>82.4</v>
      </c>
      <c r="C24" s="8">
        <v>96.1</v>
      </c>
    </row>
    <row r="25" spans="2:3" x14ac:dyDescent="0.2">
      <c r="B25" s="8">
        <v>76.2</v>
      </c>
      <c r="C25" s="8">
        <v>76.7</v>
      </c>
    </row>
    <row r="26" spans="2:3" x14ac:dyDescent="0.2">
      <c r="B26" s="8">
        <v>62.5</v>
      </c>
      <c r="C26" s="8">
        <v>80.3</v>
      </c>
    </row>
    <row r="27" spans="2:3" x14ac:dyDescent="0.2">
      <c r="B27" s="8">
        <v>78</v>
      </c>
      <c r="C27" s="8">
        <v>77.8</v>
      </c>
    </row>
    <row r="28" spans="2:3" x14ac:dyDescent="0.2">
      <c r="B28" s="8">
        <v>66.5</v>
      </c>
      <c r="C28" s="8">
        <v>62.6</v>
      </c>
    </row>
    <row r="29" spans="2:3" x14ac:dyDescent="0.2">
      <c r="B29" s="8">
        <v>63.5</v>
      </c>
      <c r="C29" s="8">
        <v>80.2</v>
      </c>
    </row>
    <row r="30" spans="2:3" x14ac:dyDescent="0.2">
      <c r="B30" s="8">
        <v>82.6</v>
      </c>
      <c r="C30" s="8">
        <v>79.099999999999994</v>
      </c>
    </row>
    <row r="31" spans="2:3" x14ac:dyDescent="0.2">
      <c r="B31" s="8">
        <v>79.2</v>
      </c>
      <c r="C31" s="8">
        <v>77.8</v>
      </c>
    </row>
    <row r="32" spans="2:3" x14ac:dyDescent="0.2">
      <c r="B32" s="8">
        <v>75</v>
      </c>
      <c r="C32" s="8">
        <v>75.099999999999994</v>
      </c>
    </row>
    <row r="33" spans="2:3" x14ac:dyDescent="0.2">
      <c r="B33" s="8">
        <v>74.400000000000006</v>
      </c>
      <c r="C33" s="8">
        <v>82.2</v>
      </c>
    </row>
    <row r="34" spans="2:3" x14ac:dyDescent="0.2">
      <c r="B34" s="8">
        <v>67.900000000000006</v>
      </c>
      <c r="C34" s="8">
        <v>70.5</v>
      </c>
    </row>
    <row r="35" spans="2:3" x14ac:dyDescent="0.2">
      <c r="B35" s="8">
        <v>76.8</v>
      </c>
      <c r="C35" s="8">
        <v>70.8</v>
      </c>
    </row>
    <row r="36" spans="2:3" x14ac:dyDescent="0.2">
      <c r="B36" s="8">
        <v>83</v>
      </c>
      <c r="C36" s="8">
        <v>87.5</v>
      </c>
    </row>
    <row r="37" spans="2:3" x14ac:dyDescent="0.2">
      <c r="B37" s="8">
        <v>88.9</v>
      </c>
      <c r="C37" s="8">
        <v>79.5</v>
      </c>
    </row>
    <row r="38" spans="2:3" x14ac:dyDescent="0.2">
      <c r="B38" s="8">
        <v>76.5</v>
      </c>
      <c r="C38" s="8">
        <v>80.8</v>
      </c>
    </row>
    <row r="39" spans="2:3" x14ac:dyDescent="0.2">
      <c r="B39" s="8">
        <v>79.900000000000006</v>
      </c>
      <c r="C39" s="8">
        <v>79.599999999999994</v>
      </c>
    </row>
    <row r="40" spans="2:3" x14ac:dyDescent="0.2">
      <c r="B40" s="8">
        <v>70.400000000000006</v>
      </c>
      <c r="C40" s="8">
        <v>88.9</v>
      </c>
    </row>
    <row r="41" spans="2:3" x14ac:dyDescent="0.2">
      <c r="B41" s="8">
        <v>83.4</v>
      </c>
      <c r="C41" s="8">
        <v>85.9</v>
      </c>
    </row>
    <row r="42" spans="2:3" x14ac:dyDescent="0.2">
      <c r="B42" s="8">
        <v>79.2</v>
      </c>
      <c r="C42" s="8">
        <v>82.3</v>
      </c>
    </row>
    <row r="43" spans="2:3" x14ac:dyDescent="0.2">
      <c r="B43" s="8">
        <v>61.2</v>
      </c>
      <c r="C43" s="8">
        <v>76.7</v>
      </c>
    </row>
    <row r="44" spans="2:3" x14ac:dyDescent="0.2">
      <c r="B44" s="8">
        <v>64</v>
      </c>
      <c r="C44" s="8">
        <v>79.900000000000006</v>
      </c>
    </row>
    <row r="45" spans="2:3" x14ac:dyDescent="0.2">
      <c r="B45" s="8">
        <v>68</v>
      </c>
      <c r="C45" s="8">
        <v>86.2</v>
      </c>
    </row>
    <row r="46" spans="2:3" x14ac:dyDescent="0.2">
      <c r="B46" s="8">
        <v>78.5</v>
      </c>
      <c r="C46" s="8">
        <v>79.2</v>
      </c>
    </row>
    <row r="47" spans="2:3" x14ac:dyDescent="0.2">
      <c r="B47" s="8">
        <v>83</v>
      </c>
      <c r="C47" s="8">
        <v>83.4</v>
      </c>
    </row>
    <row r="48" spans="2:3" x14ac:dyDescent="0.2">
      <c r="B48" s="8">
        <v>75.2</v>
      </c>
      <c r="C48" s="8">
        <v>85.2</v>
      </c>
    </row>
    <row r="49" spans="2:3" x14ac:dyDescent="0.2">
      <c r="B49" s="8">
        <v>68.099999999999994</v>
      </c>
      <c r="C49" s="8">
        <v>77.8</v>
      </c>
    </row>
    <row r="50" spans="2:3" x14ac:dyDescent="0.2">
      <c r="B50" s="8">
        <v>93.6</v>
      </c>
      <c r="C50" s="8">
        <v>80.2</v>
      </c>
    </row>
    <row r="51" spans="2:3" x14ac:dyDescent="0.2">
      <c r="B51" s="8">
        <v>75.599999999999994</v>
      </c>
      <c r="C51" s="8">
        <v>71</v>
      </c>
    </row>
    <row r="52" spans="2:3" x14ac:dyDescent="0.2">
      <c r="B52" s="8">
        <v>82.3</v>
      </c>
      <c r="C52" s="8">
        <v>87.2</v>
      </c>
    </row>
    <row r="53" spans="2:3" x14ac:dyDescent="0.2">
      <c r="B53" s="8">
        <v>71.400000000000006</v>
      </c>
      <c r="C53" s="8">
        <v>82.9</v>
      </c>
    </row>
    <row r="54" spans="2:3" x14ac:dyDescent="0.2">
      <c r="B54" s="8">
        <v>71.900000000000006</v>
      </c>
      <c r="C54" s="8">
        <v>73.5</v>
      </c>
    </row>
    <row r="55" spans="2:3" x14ac:dyDescent="0.2">
      <c r="B55" s="8">
        <v>79.099999999999994</v>
      </c>
      <c r="C55" s="8">
        <v>74.599999999999994</v>
      </c>
    </row>
    <row r="56" spans="2:3" x14ac:dyDescent="0.2">
      <c r="B56" s="8">
        <v>88.7</v>
      </c>
      <c r="C56" s="8">
        <v>75.099999999999994</v>
      </c>
    </row>
    <row r="57" spans="2:3" x14ac:dyDescent="0.2">
      <c r="B57" s="8">
        <v>69.400000000000006</v>
      </c>
      <c r="C57" s="8">
        <v>85.1</v>
      </c>
    </row>
    <row r="58" spans="2:3" x14ac:dyDescent="0.2">
      <c r="B58" s="8">
        <v>80.3</v>
      </c>
      <c r="C58" s="8">
        <v>74.900000000000006</v>
      </c>
    </row>
    <row r="59" spans="2:3" x14ac:dyDescent="0.2">
      <c r="B59" s="8">
        <v>83</v>
      </c>
      <c r="C59" s="8">
        <v>84.6</v>
      </c>
    </row>
    <row r="60" spans="2:3" x14ac:dyDescent="0.2">
      <c r="B60" s="8">
        <v>74.099999999999994</v>
      </c>
      <c r="C60" s="8">
        <v>81.7</v>
      </c>
    </row>
    <row r="61" spans="2:3" x14ac:dyDescent="0.2">
      <c r="B61" s="8">
        <v>79.400000000000006</v>
      </c>
      <c r="C61" s="8">
        <v>81.400000000000006</v>
      </c>
    </row>
    <row r="62" spans="2:3" x14ac:dyDescent="0.2">
      <c r="B62" s="8">
        <v>88.1</v>
      </c>
      <c r="C62" s="8">
        <v>83.8</v>
      </c>
    </row>
    <row r="63" spans="2:3" x14ac:dyDescent="0.2">
      <c r="B63" s="8">
        <v>74.599999999999994</v>
      </c>
      <c r="C63" s="8">
        <v>88.5</v>
      </c>
    </row>
    <row r="64" spans="2:3" x14ac:dyDescent="0.2">
      <c r="B64" s="8">
        <v>87.1</v>
      </c>
      <c r="C64" s="8">
        <v>84.9</v>
      </c>
    </row>
    <row r="65" spans="2:3" x14ac:dyDescent="0.2">
      <c r="B65" s="8">
        <v>79.7</v>
      </c>
      <c r="C65" s="8">
        <v>84.3</v>
      </c>
    </row>
    <row r="66" spans="2:3" x14ac:dyDescent="0.2">
      <c r="B66" s="8">
        <v>82.1</v>
      </c>
      <c r="C66" s="8">
        <v>78.2</v>
      </c>
    </row>
    <row r="67" spans="2:3" x14ac:dyDescent="0.2">
      <c r="B67" s="8">
        <v>70.2</v>
      </c>
      <c r="C67" s="8">
        <v>80</v>
      </c>
    </row>
    <row r="68" spans="2:3" x14ac:dyDescent="0.2">
      <c r="B68" s="8">
        <v>81.7</v>
      </c>
      <c r="C68" s="8">
        <v>74.8</v>
      </c>
    </row>
    <row r="69" spans="2:3" x14ac:dyDescent="0.2">
      <c r="B69" s="8">
        <v>76.099999999999994</v>
      </c>
      <c r="C69" s="8">
        <v>78.5</v>
      </c>
    </row>
    <row r="70" spans="2:3" x14ac:dyDescent="0.2">
      <c r="B70" s="8">
        <v>65.400000000000006</v>
      </c>
      <c r="C70" s="8">
        <v>71.8</v>
      </c>
    </row>
    <row r="71" spans="2:3" x14ac:dyDescent="0.2">
      <c r="B71" s="8">
        <v>70.099999999999994</v>
      </c>
      <c r="C71" s="8">
        <v>69.900000000000006</v>
      </c>
    </row>
    <row r="72" spans="2:3" x14ac:dyDescent="0.2">
      <c r="B72" s="8">
        <v>75.3</v>
      </c>
      <c r="C72" s="8">
        <v>82.7</v>
      </c>
    </row>
    <row r="73" spans="2:3" x14ac:dyDescent="0.2">
      <c r="B73" s="8">
        <v>68.7</v>
      </c>
      <c r="C73" s="8">
        <v>74</v>
      </c>
    </row>
    <row r="74" spans="2:3" x14ac:dyDescent="0.2">
      <c r="B74" s="8">
        <v>75.7</v>
      </c>
      <c r="C74" s="8">
        <v>84</v>
      </c>
    </row>
    <row r="75" spans="2:3" x14ac:dyDescent="0.2">
      <c r="B75" s="8">
        <v>68.7</v>
      </c>
      <c r="C75" s="8">
        <v>84.7</v>
      </c>
    </row>
    <row r="76" spans="2:3" x14ac:dyDescent="0.2">
      <c r="B76" s="8">
        <v>70.400000000000006</v>
      </c>
      <c r="C76" s="8">
        <v>78.2</v>
      </c>
    </row>
    <row r="77" spans="2:3" x14ac:dyDescent="0.2">
      <c r="B77" s="8">
        <v>68.3</v>
      </c>
      <c r="C77" s="8">
        <v>85</v>
      </c>
    </row>
    <row r="78" spans="2:3" x14ac:dyDescent="0.2">
      <c r="B78" s="8">
        <v>71.7</v>
      </c>
      <c r="C78" s="8">
        <v>80.099999999999994</v>
      </c>
    </row>
    <row r="79" spans="2:3" x14ac:dyDescent="0.2">
      <c r="B79" s="8">
        <v>70.900000000000006</v>
      </c>
      <c r="C79" s="8">
        <v>85.3</v>
      </c>
    </row>
    <row r="80" spans="2:3" x14ac:dyDescent="0.2">
      <c r="B80" s="8">
        <v>66.3</v>
      </c>
      <c r="C80" s="8">
        <v>79.7</v>
      </c>
    </row>
    <row r="81" spans="2:3" x14ac:dyDescent="0.2">
      <c r="B81" s="8">
        <v>65.3</v>
      </c>
      <c r="C81" s="8">
        <v>79.599999999999994</v>
      </c>
    </row>
    <row r="82" spans="2:3" x14ac:dyDescent="0.2">
      <c r="B82" s="8">
        <v>75.7</v>
      </c>
      <c r="C82" s="8">
        <v>78.900000000000006</v>
      </c>
    </row>
    <row r="83" spans="2:3" x14ac:dyDescent="0.2">
      <c r="B83" s="8">
        <v>66</v>
      </c>
      <c r="C83" s="8">
        <v>78.5</v>
      </c>
    </row>
    <row r="84" spans="2:3" x14ac:dyDescent="0.2">
      <c r="B84" s="8">
        <v>78.900000000000006</v>
      </c>
      <c r="C84" s="8">
        <v>72</v>
      </c>
    </row>
    <row r="85" spans="2:3" x14ac:dyDescent="0.2">
      <c r="B85" s="8">
        <v>74</v>
      </c>
      <c r="C85" s="8">
        <v>74.2</v>
      </c>
    </row>
    <row r="86" spans="2:3" x14ac:dyDescent="0.2">
      <c r="B86" s="8">
        <v>74.599999999999994</v>
      </c>
      <c r="C86" s="8">
        <v>71.7</v>
      </c>
    </row>
    <row r="87" spans="2:3" x14ac:dyDescent="0.2">
      <c r="B87" s="8">
        <v>79.3</v>
      </c>
      <c r="C87" s="8">
        <v>80.7</v>
      </c>
    </row>
    <row r="88" spans="2:3" x14ac:dyDescent="0.2">
      <c r="B88" s="8">
        <v>70.099999999999994</v>
      </c>
      <c r="C88" s="8">
        <v>84.1</v>
      </c>
    </row>
    <row r="89" spans="2:3" x14ac:dyDescent="0.2">
      <c r="B89" s="8">
        <v>88.8</v>
      </c>
      <c r="C89" s="8">
        <v>87.4</v>
      </c>
    </row>
    <row r="90" spans="2:3" x14ac:dyDescent="0.2">
      <c r="B90" s="8">
        <v>66</v>
      </c>
      <c r="C90" s="8">
        <v>77.400000000000006</v>
      </c>
    </row>
    <row r="91" spans="2:3" x14ac:dyDescent="0.2">
      <c r="B91" s="8">
        <v>82.9</v>
      </c>
      <c r="C91" s="8">
        <v>84.7</v>
      </c>
    </row>
    <row r="92" spans="2:3" x14ac:dyDescent="0.2">
      <c r="B92" s="8">
        <v>100</v>
      </c>
      <c r="C92" s="8">
        <v>78.8</v>
      </c>
    </row>
    <row r="93" spans="2:3" x14ac:dyDescent="0.2">
      <c r="B93" s="8">
        <v>75.599999999999994</v>
      </c>
      <c r="C93" s="8">
        <v>92.7</v>
      </c>
    </row>
    <row r="94" spans="2:3" x14ac:dyDescent="0.2">
      <c r="B94" s="8">
        <v>67.5</v>
      </c>
      <c r="C94" s="8">
        <v>88.8</v>
      </c>
    </row>
    <row r="95" spans="2:3" x14ac:dyDescent="0.2">
      <c r="B95" s="8">
        <v>68.7</v>
      </c>
      <c r="C95" s="8">
        <v>86.6</v>
      </c>
    </row>
    <row r="96" spans="2:3" x14ac:dyDescent="0.2">
      <c r="B96" s="8">
        <v>76</v>
      </c>
      <c r="C96" s="8">
        <v>77.900000000000006</v>
      </c>
    </row>
    <row r="97" spans="2:3" x14ac:dyDescent="0.2">
      <c r="B97" s="8">
        <v>67.7</v>
      </c>
      <c r="C97" s="8">
        <v>86.1</v>
      </c>
    </row>
    <row r="98" spans="2:3" x14ac:dyDescent="0.2">
      <c r="B98" s="8">
        <v>75.3</v>
      </c>
      <c r="C98" s="8">
        <v>89.9</v>
      </c>
    </row>
    <row r="99" spans="2:3" x14ac:dyDescent="0.2">
      <c r="B99" s="8">
        <v>68.099999999999994</v>
      </c>
      <c r="C99" s="8">
        <v>83.1</v>
      </c>
    </row>
    <row r="100" spans="2:3" x14ac:dyDescent="0.2">
      <c r="B100" s="8">
        <v>63.3</v>
      </c>
      <c r="C100" s="8">
        <v>82.6</v>
      </c>
    </row>
  </sheetData>
  <pageMargins left="0.7" right="0.7" top="0.75" bottom="0.75" header="0.3" footer="0.3"/>
  <pageSetup orientation="portrait" r:id="rId1"/>
  <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9BDA3-48BF-423F-8B04-0FFA43FF3100}">
  <sheetPr codeName="Sheet49">
    <tabColor rgb="FFEFE5F7"/>
  </sheetPr>
  <dimension ref="B1:F100"/>
  <sheetViews>
    <sheetView showGridLines="0" workbookViewId="0">
      <selection activeCell="H6" sqref="H6"/>
    </sheetView>
  </sheetViews>
  <sheetFormatPr baseColWidth="10" defaultColWidth="8.83203125" defaultRowHeight="15" x14ac:dyDescent="0.2"/>
  <cols>
    <col min="1" max="1" width="2.83203125" customWidth="1"/>
    <col min="2" max="2" width="17.1640625" customWidth="1"/>
    <col min="3" max="3" width="11.5" customWidth="1"/>
    <col min="5" max="5" width="14.33203125" customWidth="1"/>
    <col min="6" max="6" width="9.1640625" customWidth="1"/>
  </cols>
  <sheetData>
    <row r="1" spans="2:6" ht="25.5" customHeight="1" x14ac:dyDescent="0.25">
      <c r="B1" s="18" t="s">
        <v>225</v>
      </c>
    </row>
    <row r="2" spans="2:6" ht="15" customHeight="1" x14ac:dyDescent="0.2">
      <c r="B2" s="30" t="s">
        <v>226</v>
      </c>
    </row>
    <row r="3" spans="2:6" ht="18" customHeight="1" x14ac:dyDescent="0.2"/>
    <row r="4" spans="2:6" x14ac:dyDescent="0.2">
      <c r="E4" s="3" t="s">
        <v>54</v>
      </c>
    </row>
    <row r="5" spans="2:6" x14ac:dyDescent="0.2">
      <c r="B5" s="43" t="s">
        <v>76</v>
      </c>
      <c r="C5" s="43" t="s">
        <v>77</v>
      </c>
      <c r="E5" s="115" t="s">
        <v>229</v>
      </c>
      <c r="F5" s="115"/>
    </row>
    <row r="6" spans="2:6" x14ac:dyDescent="0.2">
      <c r="B6" s="51">
        <v>68.400000000000006</v>
      </c>
      <c r="C6" s="51">
        <v>90.2</v>
      </c>
      <c r="E6" s="20" t="s">
        <v>230</v>
      </c>
      <c r="F6" s="87">
        <f>PEARSON(B6:B100,C6:C100)</f>
        <v>0.10605610621279929</v>
      </c>
    </row>
    <row r="7" spans="2:6" x14ac:dyDescent="0.2">
      <c r="B7" s="8">
        <v>62.1</v>
      </c>
      <c r="C7" s="8">
        <v>92.8</v>
      </c>
    </row>
    <row r="8" spans="2:6" x14ac:dyDescent="0.2">
      <c r="B8" s="8">
        <v>70.2</v>
      </c>
      <c r="C8" s="8">
        <v>68.7</v>
      </c>
    </row>
    <row r="9" spans="2:6" x14ac:dyDescent="0.2">
      <c r="B9" s="8">
        <v>75.099999999999994</v>
      </c>
      <c r="C9" s="8">
        <v>80.7</v>
      </c>
    </row>
    <row r="10" spans="2:6" x14ac:dyDescent="0.2">
      <c r="B10" s="8">
        <v>60.9</v>
      </c>
      <c r="C10" s="8">
        <v>74.900000000000006</v>
      </c>
    </row>
    <row r="11" spans="2:6" x14ac:dyDescent="0.2">
      <c r="B11" s="8">
        <v>74.5</v>
      </c>
      <c r="C11" s="8">
        <v>80.7</v>
      </c>
    </row>
    <row r="12" spans="2:6" x14ac:dyDescent="0.2">
      <c r="B12" s="8">
        <v>76.400000000000006</v>
      </c>
      <c r="C12" s="8">
        <v>83.3</v>
      </c>
    </row>
    <row r="13" spans="2:6" x14ac:dyDescent="0.2">
      <c r="B13" s="8">
        <v>82.6</v>
      </c>
      <c r="C13" s="8">
        <v>88.7</v>
      </c>
    </row>
    <row r="14" spans="2:6" x14ac:dyDescent="0.2">
      <c r="B14" s="8">
        <v>76.900000000000006</v>
      </c>
      <c r="C14" s="8">
        <v>75.400000000000006</v>
      </c>
    </row>
    <row r="15" spans="2:6" x14ac:dyDescent="0.2">
      <c r="B15" s="8">
        <v>83.3</v>
      </c>
      <c r="C15" s="8">
        <v>82.1</v>
      </c>
    </row>
    <row r="16" spans="2:6" x14ac:dyDescent="0.2">
      <c r="B16" s="8">
        <v>75.8</v>
      </c>
      <c r="C16" s="8">
        <v>87.5</v>
      </c>
    </row>
    <row r="17" spans="2:3" x14ac:dyDescent="0.2">
      <c r="B17" s="8">
        <v>76</v>
      </c>
      <c r="C17" s="8">
        <v>66.900000000000006</v>
      </c>
    </row>
    <row r="18" spans="2:3" x14ac:dyDescent="0.2">
      <c r="B18" s="8">
        <v>62.8</v>
      </c>
      <c r="C18" s="8">
        <v>71.3</v>
      </c>
    </row>
    <row r="19" spans="2:3" x14ac:dyDescent="0.2">
      <c r="B19" s="8">
        <v>82.8</v>
      </c>
      <c r="C19" s="8">
        <v>76.8</v>
      </c>
    </row>
    <row r="20" spans="2:3" x14ac:dyDescent="0.2">
      <c r="B20" s="8">
        <v>76</v>
      </c>
      <c r="C20" s="8">
        <v>72.3</v>
      </c>
    </row>
    <row r="21" spans="2:3" x14ac:dyDescent="0.2">
      <c r="B21" s="8">
        <v>76.900000000000006</v>
      </c>
      <c r="C21" s="8">
        <v>72.400000000000006</v>
      </c>
    </row>
    <row r="22" spans="2:3" x14ac:dyDescent="0.2">
      <c r="B22" s="8">
        <v>75.8</v>
      </c>
      <c r="C22" s="8">
        <v>72</v>
      </c>
    </row>
    <row r="23" spans="2:3" x14ac:dyDescent="0.2">
      <c r="B23" s="8">
        <v>78</v>
      </c>
      <c r="C23" s="8">
        <v>81</v>
      </c>
    </row>
    <row r="24" spans="2:3" x14ac:dyDescent="0.2">
      <c r="B24" s="8">
        <v>82.4</v>
      </c>
      <c r="C24" s="8">
        <v>96.1</v>
      </c>
    </row>
    <row r="25" spans="2:3" x14ac:dyDescent="0.2">
      <c r="B25" s="8">
        <v>76.2</v>
      </c>
      <c r="C25" s="8">
        <v>76.7</v>
      </c>
    </row>
    <row r="26" spans="2:3" x14ac:dyDescent="0.2">
      <c r="B26" s="8">
        <v>62.5</v>
      </c>
      <c r="C26" s="8">
        <v>80.3</v>
      </c>
    </row>
    <row r="27" spans="2:3" x14ac:dyDescent="0.2">
      <c r="B27" s="8">
        <v>78</v>
      </c>
      <c r="C27" s="8">
        <v>77.8</v>
      </c>
    </row>
    <row r="28" spans="2:3" x14ac:dyDescent="0.2">
      <c r="B28" s="8">
        <v>66.5</v>
      </c>
      <c r="C28" s="8">
        <v>62.6</v>
      </c>
    </row>
    <row r="29" spans="2:3" x14ac:dyDescent="0.2">
      <c r="B29" s="8">
        <v>63.5</v>
      </c>
      <c r="C29" s="8">
        <v>80.2</v>
      </c>
    </row>
    <row r="30" spans="2:3" x14ac:dyDescent="0.2">
      <c r="B30" s="8">
        <v>82.6</v>
      </c>
      <c r="C30" s="8">
        <v>79.099999999999994</v>
      </c>
    </row>
    <row r="31" spans="2:3" x14ac:dyDescent="0.2">
      <c r="B31" s="8">
        <v>79.2</v>
      </c>
      <c r="C31" s="8">
        <v>77.8</v>
      </c>
    </row>
    <row r="32" spans="2:3" x14ac:dyDescent="0.2">
      <c r="B32" s="8">
        <v>75</v>
      </c>
      <c r="C32" s="8">
        <v>75.099999999999994</v>
      </c>
    </row>
    <row r="33" spans="2:3" x14ac:dyDescent="0.2">
      <c r="B33" s="8">
        <v>74.400000000000006</v>
      </c>
      <c r="C33" s="8">
        <v>82.2</v>
      </c>
    </row>
    <row r="34" spans="2:3" x14ac:dyDescent="0.2">
      <c r="B34" s="8">
        <v>67.900000000000006</v>
      </c>
      <c r="C34" s="8">
        <v>70.5</v>
      </c>
    </row>
    <row r="35" spans="2:3" x14ac:dyDescent="0.2">
      <c r="B35" s="8">
        <v>76.8</v>
      </c>
      <c r="C35" s="8">
        <v>70.8</v>
      </c>
    </row>
    <row r="36" spans="2:3" x14ac:dyDescent="0.2">
      <c r="B36" s="8">
        <v>83</v>
      </c>
      <c r="C36" s="8">
        <v>87.5</v>
      </c>
    </row>
    <row r="37" spans="2:3" x14ac:dyDescent="0.2">
      <c r="B37" s="8">
        <v>88.9</v>
      </c>
      <c r="C37" s="8">
        <v>79.5</v>
      </c>
    </row>
    <row r="38" spans="2:3" x14ac:dyDescent="0.2">
      <c r="B38" s="8">
        <v>76.5</v>
      </c>
      <c r="C38" s="8">
        <v>80.8</v>
      </c>
    </row>
    <row r="39" spans="2:3" x14ac:dyDescent="0.2">
      <c r="B39" s="8">
        <v>79.900000000000006</v>
      </c>
      <c r="C39" s="8">
        <v>79.599999999999994</v>
      </c>
    </row>
    <row r="40" spans="2:3" x14ac:dyDescent="0.2">
      <c r="B40" s="8">
        <v>70.400000000000006</v>
      </c>
      <c r="C40" s="8">
        <v>88.9</v>
      </c>
    </row>
    <row r="41" spans="2:3" x14ac:dyDescent="0.2">
      <c r="B41" s="8">
        <v>83.4</v>
      </c>
      <c r="C41" s="8">
        <v>85.9</v>
      </c>
    </row>
    <row r="42" spans="2:3" x14ac:dyDescent="0.2">
      <c r="B42" s="8">
        <v>79.2</v>
      </c>
      <c r="C42" s="8">
        <v>82.3</v>
      </c>
    </row>
    <row r="43" spans="2:3" x14ac:dyDescent="0.2">
      <c r="B43" s="8">
        <v>61.2</v>
      </c>
      <c r="C43" s="8">
        <v>76.7</v>
      </c>
    </row>
    <row r="44" spans="2:3" x14ac:dyDescent="0.2">
      <c r="B44" s="8">
        <v>64</v>
      </c>
      <c r="C44" s="8">
        <v>79.900000000000006</v>
      </c>
    </row>
    <row r="45" spans="2:3" x14ac:dyDescent="0.2">
      <c r="B45" s="8">
        <v>68</v>
      </c>
      <c r="C45" s="8">
        <v>86.2</v>
      </c>
    </row>
    <row r="46" spans="2:3" x14ac:dyDescent="0.2">
      <c r="B46" s="8">
        <v>78.5</v>
      </c>
      <c r="C46" s="8">
        <v>79.2</v>
      </c>
    </row>
    <row r="47" spans="2:3" x14ac:dyDescent="0.2">
      <c r="B47" s="8">
        <v>83</v>
      </c>
      <c r="C47" s="8">
        <v>83.4</v>
      </c>
    </row>
    <row r="48" spans="2:3" x14ac:dyDescent="0.2">
      <c r="B48" s="8">
        <v>75.2</v>
      </c>
      <c r="C48" s="8">
        <v>85.2</v>
      </c>
    </row>
    <row r="49" spans="2:3" x14ac:dyDescent="0.2">
      <c r="B49" s="8">
        <v>68.099999999999994</v>
      </c>
      <c r="C49" s="8">
        <v>77.8</v>
      </c>
    </row>
    <row r="50" spans="2:3" x14ac:dyDescent="0.2">
      <c r="B50" s="8">
        <v>93.6</v>
      </c>
      <c r="C50" s="8">
        <v>80.2</v>
      </c>
    </row>
    <row r="51" spans="2:3" x14ac:dyDescent="0.2">
      <c r="B51" s="8">
        <v>75.599999999999994</v>
      </c>
      <c r="C51" s="8">
        <v>71</v>
      </c>
    </row>
    <row r="52" spans="2:3" x14ac:dyDescent="0.2">
      <c r="B52" s="8">
        <v>82.3</v>
      </c>
      <c r="C52" s="8">
        <v>87.2</v>
      </c>
    </row>
    <row r="53" spans="2:3" x14ac:dyDescent="0.2">
      <c r="B53" s="8">
        <v>71.400000000000006</v>
      </c>
      <c r="C53" s="8">
        <v>82.9</v>
      </c>
    </row>
    <row r="54" spans="2:3" x14ac:dyDescent="0.2">
      <c r="B54" s="8">
        <v>71.900000000000006</v>
      </c>
      <c r="C54" s="8">
        <v>73.5</v>
      </c>
    </row>
    <row r="55" spans="2:3" x14ac:dyDescent="0.2">
      <c r="B55" s="8">
        <v>79.099999999999994</v>
      </c>
      <c r="C55" s="8">
        <v>74.599999999999994</v>
      </c>
    </row>
    <row r="56" spans="2:3" x14ac:dyDescent="0.2">
      <c r="B56" s="8">
        <v>88.7</v>
      </c>
      <c r="C56" s="8">
        <v>75.099999999999994</v>
      </c>
    </row>
    <row r="57" spans="2:3" x14ac:dyDescent="0.2">
      <c r="B57" s="8">
        <v>69.400000000000006</v>
      </c>
      <c r="C57" s="8">
        <v>85.1</v>
      </c>
    </row>
    <row r="58" spans="2:3" x14ac:dyDescent="0.2">
      <c r="B58" s="8">
        <v>80.3</v>
      </c>
      <c r="C58" s="8">
        <v>74.900000000000006</v>
      </c>
    </row>
    <row r="59" spans="2:3" x14ac:dyDescent="0.2">
      <c r="B59" s="8">
        <v>83</v>
      </c>
      <c r="C59" s="8">
        <v>84.6</v>
      </c>
    </row>
    <row r="60" spans="2:3" x14ac:dyDescent="0.2">
      <c r="B60" s="8">
        <v>74.099999999999994</v>
      </c>
      <c r="C60" s="8">
        <v>81.7</v>
      </c>
    </row>
    <row r="61" spans="2:3" x14ac:dyDescent="0.2">
      <c r="B61" s="8">
        <v>79.400000000000006</v>
      </c>
      <c r="C61" s="8">
        <v>81.400000000000006</v>
      </c>
    </row>
    <row r="62" spans="2:3" x14ac:dyDescent="0.2">
      <c r="B62" s="8">
        <v>88.1</v>
      </c>
      <c r="C62" s="8">
        <v>83.8</v>
      </c>
    </row>
    <row r="63" spans="2:3" x14ac:dyDescent="0.2">
      <c r="B63" s="8">
        <v>74.599999999999994</v>
      </c>
      <c r="C63" s="8">
        <v>88.5</v>
      </c>
    </row>
    <row r="64" spans="2:3" x14ac:dyDescent="0.2">
      <c r="B64" s="8">
        <v>87.1</v>
      </c>
      <c r="C64" s="8">
        <v>84.9</v>
      </c>
    </row>
    <row r="65" spans="2:3" x14ac:dyDescent="0.2">
      <c r="B65" s="8">
        <v>79.7</v>
      </c>
      <c r="C65" s="8">
        <v>84.3</v>
      </c>
    </row>
    <row r="66" spans="2:3" x14ac:dyDescent="0.2">
      <c r="B66" s="8">
        <v>82.1</v>
      </c>
      <c r="C66" s="8">
        <v>78.2</v>
      </c>
    </row>
    <row r="67" spans="2:3" x14ac:dyDescent="0.2">
      <c r="B67" s="8">
        <v>70.2</v>
      </c>
      <c r="C67" s="8">
        <v>80</v>
      </c>
    </row>
    <row r="68" spans="2:3" x14ac:dyDescent="0.2">
      <c r="B68" s="8">
        <v>81.7</v>
      </c>
      <c r="C68" s="8">
        <v>74.8</v>
      </c>
    </row>
    <row r="69" spans="2:3" x14ac:dyDescent="0.2">
      <c r="B69" s="8">
        <v>76.099999999999994</v>
      </c>
      <c r="C69" s="8">
        <v>78.5</v>
      </c>
    </row>
    <row r="70" spans="2:3" x14ac:dyDescent="0.2">
      <c r="B70" s="8">
        <v>65.400000000000006</v>
      </c>
      <c r="C70" s="8">
        <v>71.8</v>
      </c>
    </row>
    <row r="71" spans="2:3" x14ac:dyDescent="0.2">
      <c r="B71" s="8">
        <v>70.099999999999994</v>
      </c>
      <c r="C71" s="8">
        <v>69.900000000000006</v>
      </c>
    </row>
    <row r="72" spans="2:3" x14ac:dyDescent="0.2">
      <c r="B72" s="8">
        <v>75.3</v>
      </c>
      <c r="C72" s="8">
        <v>82.7</v>
      </c>
    </row>
    <row r="73" spans="2:3" x14ac:dyDescent="0.2">
      <c r="B73" s="8">
        <v>68.7</v>
      </c>
      <c r="C73" s="8">
        <v>74</v>
      </c>
    </row>
    <row r="74" spans="2:3" x14ac:dyDescent="0.2">
      <c r="B74" s="8">
        <v>75.7</v>
      </c>
      <c r="C74" s="8">
        <v>84</v>
      </c>
    </row>
    <row r="75" spans="2:3" x14ac:dyDescent="0.2">
      <c r="B75" s="8">
        <v>68.7</v>
      </c>
      <c r="C75" s="8">
        <v>84.7</v>
      </c>
    </row>
    <row r="76" spans="2:3" x14ac:dyDescent="0.2">
      <c r="B76" s="8">
        <v>70.400000000000006</v>
      </c>
      <c r="C76" s="8">
        <v>78.2</v>
      </c>
    </row>
    <row r="77" spans="2:3" x14ac:dyDescent="0.2">
      <c r="B77" s="8">
        <v>68.3</v>
      </c>
      <c r="C77" s="8">
        <v>85</v>
      </c>
    </row>
    <row r="78" spans="2:3" x14ac:dyDescent="0.2">
      <c r="B78" s="8">
        <v>71.7</v>
      </c>
      <c r="C78" s="8">
        <v>80.099999999999994</v>
      </c>
    </row>
    <row r="79" spans="2:3" x14ac:dyDescent="0.2">
      <c r="B79" s="8">
        <v>70.900000000000006</v>
      </c>
      <c r="C79" s="8">
        <v>85.3</v>
      </c>
    </row>
    <row r="80" spans="2:3" x14ac:dyDescent="0.2">
      <c r="B80" s="8">
        <v>66.3</v>
      </c>
      <c r="C80" s="8">
        <v>79.7</v>
      </c>
    </row>
    <row r="81" spans="2:3" x14ac:dyDescent="0.2">
      <c r="B81" s="8">
        <v>65.3</v>
      </c>
      <c r="C81" s="8">
        <v>79.599999999999994</v>
      </c>
    </row>
    <row r="82" spans="2:3" x14ac:dyDescent="0.2">
      <c r="B82" s="8">
        <v>75.7</v>
      </c>
      <c r="C82" s="8">
        <v>78.900000000000006</v>
      </c>
    </row>
    <row r="83" spans="2:3" x14ac:dyDescent="0.2">
      <c r="B83" s="8">
        <v>66</v>
      </c>
      <c r="C83" s="8">
        <v>78.5</v>
      </c>
    </row>
    <row r="84" spans="2:3" x14ac:dyDescent="0.2">
      <c r="B84" s="8">
        <v>78.900000000000006</v>
      </c>
      <c r="C84" s="8">
        <v>72</v>
      </c>
    </row>
    <row r="85" spans="2:3" x14ac:dyDescent="0.2">
      <c r="B85" s="8">
        <v>74</v>
      </c>
      <c r="C85" s="8">
        <v>74.2</v>
      </c>
    </row>
    <row r="86" spans="2:3" x14ac:dyDescent="0.2">
      <c r="B86" s="8">
        <v>74.599999999999994</v>
      </c>
      <c r="C86" s="8">
        <v>71.7</v>
      </c>
    </row>
    <row r="87" spans="2:3" x14ac:dyDescent="0.2">
      <c r="B87" s="8">
        <v>79.3</v>
      </c>
      <c r="C87" s="8">
        <v>80.7</v>
      </c>
    </row>
    <row r="88" spans="2:3" x14ac:dyDescent="0.2">
      <c r="B88" s="8">
        <v>70.099999999999994</v>
      </c>
      <c r="C88" s="8">
        <v>84.1</v>
      </c>
    </row>
    <row r="89" spans="2:3" x14ac:dyDescent="0.2">
      <c r="B89" s="8">
        <v>88.8</v>
      </c>
      <c r="C89" s="8">
        <v>87.4</v>
      </c>
    </row>
    <row r="90" spans="2:3" x14ac:dyDescent="0.2">
      <c r="B90" s="8">
        <v>66</v>
      </c>
      <c r="C90" s="8">
        <v>77.400000000000006</v>
      </c>
    </row>
    <row r="91" spans="2:3" x14ac:dyDescent="0.2">
      <c r="B91" s="8">
        <v>82.9</v>
      </c>
      <c r="C91" s="8">
        <v>84.7</v>
      </c>
    </row>
    <row r="92" spans="2:3" x14ac:dyDescent="0.2">
      <c r="B92" s="8">
        <v>100</v>
      </c>
      <c r="C92" s="8">
        <v>78.8</v>
      </c>
    </row>
    <row r="93" spans="2:3" x14ac:dyDescent="0.2">
      <c r="B93" s="8">
        <v>75.599999999999994</v>
      </c>
      <c r="C93" s="8">
        <v>92.7</v>
      </c>
    </row>
    <row r="94" spans="2:3" x14ac:dyDescent="0.2">
      <c r="B94" s="8">
        <v>67.5</v>
      </c>
      <c r="C94" s="8">
        <v>88.8</v>
      </c>
    </row>
    <row r="95" spans="2:3" x14ac:dyDescent="0.2">
      <c r="B95" s="8">
        <v>68.7</v>
      </c>
      <c r="C95" s="8">
        <v>86.6</v>
      </c>
    </row>
    <row r="96" spans="2:3" x14ac:dyDescent="0.2">
      <c r="B96" s="8">
        <v>76</v>
      </c>
      <c r="C96" s="8">
        <v>77.900000000000006</v>
      </c>
    </row>
    <row r="97" spans="2:3" x14ac:dyDescent="0.2">
      <c r="B97" s="8">
        <v>67.7</v>
      </c>
      <c r="C97" s="8">
        <v>86.1</v>
      </c>
    </row>
    <row r="98" spans="2:3" x14ac:dyDescent="0.2">
      <c r="B98" s="8">
        <v>75.3</v>
      </c>
      <c r="C98" s="8">
        <v>89.9</v>
      </c>
    </row>
    <row r="99" spans="2:3" x14ac:dyDescent="0.2">
      <c r="B99" s="8">
        <v>68.099999999999994</v>
      </c>
      <c r="C99" s="8">
        <v>83.1</v>
      </c>
    </row>
    <row r="100" spans="2:3" x14ac:dyDescent="0.2">
      <c r="B100" s="8">
        <v>63.3</v>
      </c>
      <c r="C100" s="8">
        <v>82.6</v>
      </c>
    </row>
  </sheetData>
  <mergeCells count="1">
    <mergeCell ref="E5:F5"/>
  </mergeCells>
  <pageMargins left="0.7" right="0.7" top="0.75" bottom="0.75" header="0.3" footer="0.3"/>
  <pageSetup orientation="portrait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0002B-5D3A-45F6-8AA1-05A77D49D6EF}">
  <sheetPr codeName="Sheet50">
    <tabColor rgb="FFE2D0F0"/>
  </sheetPr>
  <dimension ref="B1:M58"/>
  <sheetViews>
    <sheetView showGridLines="0" workbookViewId="0">
      <selection activeCell="I7" sqref="I7"/>
    </sheetView>
  </sheetViews>
  <sheetFormatPr baseColWidth="10" defaultColWidth="8.83203125" defaultRowHeight="15" x14ac:dyDescent="0.2"/>
  <cols>
    <col min="1" max="1" width="2.83203125" customWidth="1"/>
    <col min="2" max="2" width="17.1640625" customWidth="1"/>
    <col min="3" max="3" width="11.5" customWidth="1"/>
    <col min="4" max="4" width="20.6640625" bestFit="1" customWidth="1"/>
    <col min="5" max="5" width="19.33203125" bestFit="1" customWidth="1"/>
    <col min="6" max="6" width="12.6640625" bestFit="1" customWidth="1"/>
    <col min="8" max="8" width="14.33203125" customWidth="1"/>
    <col min="9" max="9" width="17" bestFit="1" customWidth="1"/>
    <col min="10" max="10" width="11.5" bestFit="1" customWidth="1"/>
    <col min="11" max="11" width="21.1640625" bestFit="1" customWidth="1"/>
    <col min="12" max="12" width="19.83203125" bestFit="1" customWidth="1"/>
  </cols>
  <sheetData>
    <row r="1" spans="2:13" ht="25.5" customHeight="1" x14ac:dyDescent="0.25">
      <c r="B1" s="18" t="s">
        <v>234</v>
      </c>
    </row>
    <row r="2" spans="2:13" ht="15" customHeight="1" x14ac:dyDescent="0.2">
      <c r="B2" s="30" t="s">
        <v>233</v>
      </c>
    </row>
    <row r="3" spans="2:13" ht="18" customHeight="1" x14ac:dyDescent="0.2"/>
    <row r="4" spans="2:13" x14ac:dyDescent="0.2">
      <c r="H4" s="3" t="s">
        <v>54</v>
      </c>
    </row>
    <row r="5" spans="2:13" x14ac:dyDescent="0.2">
      <c r="B5" s="43" t="s">
        <v>76</v>
      </c>
      <c r="C5" s="43" t="s">
        <v>77</v>
      </c>
      <c r="D5" s="43" t="s">
        <v>22</v>
      </c>
      <c r="E5" s="43" t="s">
        <v>23</v>
      </c>
      <c r="F5" s="41" t="s">
        <v>35</v>
      </c>
      <c r="H5" s="115" t="s">
        <v>232</v>
      </c>
      <c r="I5" s="115"/>
      <c r="J5" s="115"/>
      <c r="K5" s="115"/>
      <c r="L5" s="115"/>
    </row>
    <row r="6" spans="2:13" x14ac:dyDescent="0.2">
      <c r="B6" s="51">
        <v>68.400000000000006</v>
      </c>
      <c r="C6" s="51">
        <v>90.2</v>
      </c>
      <c r="D6" s="51">
        <v>252</v>
      </c>
      <c r="E6" s="51">
        <v>276</v>
      </c>
      <c r="F6" s="52">
        <v>111000</v>
      </c>
      <c r="I6" s="96" t="s">
        <v>76</v>
      </c>
      <c r="J6" s="20" t="s">
        <v>77</v>
      </c>
      <c r="K6" s="20" t="s">
        <v>22</v>
      </c>
      <c r="L6" s="20" t="s">
        <v>23</v>
      </c>
      <c r="M6" s="20"/>
    </row>
    <row r="7" spans="2:13" x14ac:dyDescent="0.2">
      <c r="B7" s="8">
        <v>70.2</v>
      </c>
      <c r="C7" s="8">
        <v>68.7</v>
      </c>
      <c r="D7" s="8">
        <v>101</v>
      </c>
      <c r="E7" s="8">
        <v>119</v>
      </c>
      <c r="F7" s="12">
        <v>107000</v>
      </c>
      <c r="H7" s="20" t="s">
        <v>230</v>
      </c>
      <c r="I7" s="87">
        <f>CORREL(B6:B58,F6:F58)</f>
        <v>8.8131115330406282E-2</v>
      </c>
      <c r="J7" s="87">
        <f>CORREL(C6:C58,F6:F58)</f>
        <v>-0.21594890460773236</v>
      </c>
      <c r="K7" s="87">
        <f>CORREL(D6:D58,F6:F58)</f>
        <v>-3.3036156159711241E-2</v>
      </c>
      <c r="L7" s="87">
        <f>CORREL(E6:E58,F6:F58)</f>
        <v>-1.1767089174847936E-2</v>
      </c>
    </row>
    <row r="8" spans="2:13" x14ac:dyDescent="0.2">
      <c r="B8" s="8">
        <v>76.400000000000006</v>
      </c>
      <c r="C8" s="8">
        <v>83.3</v>
      </c>
      <c r="D8" s="8">
        <v>401</v>
      </c>
      <c r="E8" s="8">
        <v>462</v>
      </c>
      <c r="F8" s="12">
        <v>109000</v>
      </c>
    </row>
    <row r="9" spans="2:13" x14ac:dyDescent="0.2">
      <c r="B9" s="8">
        <v>82.6</v>
      </c>
      <c r="C9" s="8">
        <v>88.7</v>
      </c>
      <c r="D9" s="8">
        <v>287</v>
      </c>
      <c r="E9" s="8">
        <v>342</v>
      </c>
      <c r="F9" s="12">
        <v>148000</v>
      </c>
    </row>
    <row r="10" spans="2:13" x14ac:dyDescent="0.2">
      <c r="B10" s="8">
        <v>76.900000000000006</v>
      </c>
      <c r="C10" s="8">
        <v>75.400000000000006</v>
      </c>
      <c r="D10" s="8">
        <v>275</v>
      </c>
      <c r="E10" s="8">
        <v>347</v>
      </c>
      <c r="F10" s="12">
        <v>255500</v>
      </c>
    </row>
    <row r="11" spans="2:13" x14ac:dyDescent="0.2">
      <c r="B11" s="8">
        <v>83.3</v>
      </c>
      <c r="C11" s="8">
        <v>82.1</v>
      </c>
      <c r="D11" s="8">
        <v>254</v>
      </c>
      <c r="E11" s="8">
        <v>313</v>
      </c>
      <c r="F11" s="12">
        <v>103500</v>
      </c>
    </row>
    <row r="12" spans="2:13" x14ac:dyDescent="0.2">
      <c r="B12" s="8">
        <v>76</v>
      </c>
      <c r="C12" s="8">
        <v>66.900000000000006</v>
      </c>
      <c r="D12" s="8">
        <v>117</v>
      </c>
      <c r="E12" s="8">
        <v>163</v>
      </c>
      <c r="F12" s="12">
        <v>114500</v>
      </c>
    </row>
    <row r="13" spans="2:13" x14ac:dyDescent="0.2">
      <c r="B13" s="8">
        <v>82.8</v>
      </c>
      <c r="C13" s="8">
        <v>76.8</v>
      </c>
      <c r="D13" s="8">
        <v>219</v>
      </c>
      <c r="E13" s="8">
        <v>304</v>
      </c>
      <c r="F13" s="12">
        <v>124000</v>
      </c>
    </row>
    <row r="14" spans="2:13" x14ac:dyDescent="0.2">
      <c r="B14" s="8">
        <v>76</v>
      </c>
      <c r="C14" s="8">
        <v>72.3</v>
      </c>
      <c r="D14" s="8">
        <v>152</v>
      </c>
      <c r="E14" s="8">
        <v>211</v>
      </c>
      <c r="F14" s="12">
        <v>132500</v>
      </c>
    </row>
    <row r="15" spans="2:13" x14ac:dyDescent="0.2">
      <c r="B15" s="8">
        <v>76.900000000000006</v>
      </c>
      <c r="C15" s="8">
        <v>72.400000000000006</v>
      </c>
      <c r="D15" s="8">
        <v>228</v>
      </c>
      <c r="E15" s="8">
        <v>286</v>
      </c>
      <c r="F15" s="12">
        <v>99000</v>
      </c>
    </row>
    <row r="16" spans="2:13" x14ac:dyDescent="0.2">
      <c r="B16" s="8">
        <v>78</v>
      </c>
      <c r="C16" s="8">
        <v>81</v>
      </c>
      <c r="D16" s="8">
        <v>393</v>
      </c>
      <c r="E16" s="8">
        <v>443</v>
      </c>
      <c r="F16" s="12">
        <v>124000</v>
      </c>
    </row>
    <row r="17" spans="2:6" x14ac:dyDescent="0.2">
      <c r="B17" s="8">
        <v>78</v>
      </c>
      <c r="C17" s="8">
        <v>77.8</v>
      </c>
      <c r="D17" s="8">
        <v>182</v>
      </c>
      <c r="E17" s="8">
        <v>237</v>
      </c>
      <c r="F17" s="12">
        <v>82000</v>
      </c>
    </row>
    <row r="18" spans="2:6" x14ac:dyDescent="0.2">
      <c r="B18" s="8">
        <v>82.6</v>
      </c>
      <c r="C18" s="8">
        <v>79.099999999999994</v>
      </c>
      <c r="D18" s="8">
        <v>164</v>
      </c>
      <c r="E18" s="8">
        <v>236</v>
      </c>
      <c r="F18" s="12">
        <v>185000</v>
      </c>
    </row>
    <row r="19" spans="2:6" x14ac:dyDescent="0.2">
      <c r="B19" s="8">
        <v>79.2</v>
      </c>
      <c r="C19" s="8">
        <v>77.8</v>
      </c>
      <c r="D19" s="8">
        <v>186</v>
      </c>
      <c r="E19" s="8">
        <v>251</v>
      </c>
      <c r="F19" s="12">
        <v>89500</v>
      </c>
    </row>
    <row r="20" spans="2:6" x14ac:dyDescent="0.2">
      <c r="B20" s="8">
        <v>75</v>
      </c>
      <c r="C20" s="8">
        <v>75.099999999999994</v>
      </c>
      <c r="D20" s="8">
        <v>235</v>
      </c>
      <c r="E20" s="8">
        <v>283</v>
      </c>
      <c r="F20" s="12">
        <v>91500</v>
      </c>
    </row>
    <row r="21" spans="2:6" x14ac:dyDescent="0.2">
      <c r="B21" s="8">
        <v>76.8</v>
      </c>
      <c r="C21" s="8">
        <v>70.8</v>
      </c>
      <c r="D21" s="8">
        <v>126</v>
      </c>
      <c r="E21" s="8">
        <v>180</v>
      </c>
      <c r="F21" s="12">
        <v>113500</v>
      </c>
    </row>
    <row r="22" spans="2:6" x14ac:dyDescent="0.2">
      <c r="B22" s="8">
        <v>79.900000000000006</v>
      </c>
      <c r="C22" s="8">
        <v>79.599999999999994</v>
      </c>
      <c r="D22" s="8">
        <v>181</v>
      </c>
      <c r="E22" s="8">
        <v>253</v>
      </c>
      <c r="F22" s="12">
        <v>99000</v>
      </c>
    </row>
    <row r="23" spans="2:6" x14ac:dyDescent="0.2">
      <c r="B23" s="8">
        <v>83.4</v>
      </c>
      <c r="C23" s="8">
        <v>85.9</v>
      </c>
      <c r="D23" s="8">
        <v>216</v>
      </c>
      <c r="E23" s="8">
        <v>291</v>
      </c>
      <c r="F23" s="12">
        <v>75500</v>
      </c>
    </row>
    <row r="24" spans="2:6" x14ac:dyDescent="0.2">
      <c r="B24" s="8">
        <v>79.2</v>
      </c>
      <c r="C24" s="8">
        <v>82.3</v>
      </c>
      <c r="D24" s="8">
        <v>289</v>
      </c>
      <c r="E24" s="8">
        <v>368</v>
      </c>
      <c r="F24" s="12">
        <v>86000</v>
      </c>
    </row>
    <row r="25" spans="2:6" x14ac:dyDescent="0.2">
      <c r="B25" s="8">
        <v>78.5</v>
      </c>
      <c r="C25" s="8">
        <v>79.2</v>
      </c>
      <c r="D25" s="8">
        <v>332</v>
      </c>
      <c r="E25" s="8">
        <v>396</v>
      </c>
      <c r="F25" s="12">
        <v>156500</v>
      </c>
    </row>
    <row r="26" spans="2:6" x14ac:dyDescent="0.2">
      <c r="B26" s="8">
        <v>83</v>
      </c>
      <c r="C26" s="8">
        <v>83.4</v>
      </c>
      <c r="D26" s="8">
        <v>249</v>
      </c>
      <c r="E26" s="8">
        <v>339</v>
      </c>
      <c r="F26" s="12">
        <v>99500</v>
      </c>
    </row>
    <row r="27" spans="2:6" x14ac:dyDescent="0.2">
      <c r="B27" s="8">
        <v>75.2</v>
      </c>
      <c r="C27" s="8">
        <v>85.2</v>
      </c>
      <c r="D27" s="8">
        <v>228</v>
      </c>
      <c r="E27" s="8">
        <v>286</v>
      </c>
      <c r="F27" s="12">
        <v>148000</v>
      </c>
    </row>
    <row r="28" spans="2:6" x14ac:dyDescent="0.2">
      <c r="B28" s="8">
        <v>93.6</v>
      </c>
      <c r="C28" s="8">
        <v>80.2</v>
      </c>
      <c r="D28" s="8">
        <v>194</v>
      </c>
      <c r="E28" s="8">
        <v>315</v>
      </c>
      <c r="F28" s="12">
        <v>82000</v>
      </c>
    </row>
    <row r="29" spans="2:6" x14ac:dyDescent="0.2">
      <c r="B29" s="8">
        <v>82.3</v>
      </c>
      <c r="C29" s="8">
        <v>87.2</v>
      </c>
      <c r="D29" s="8">
        <v>402</v>
      </c>
      <c r="E29" s="8">
        <v>481</v>
      </c>
      <c r="F29" s="12">
        <v>103500</v>
      </c>
    </row>
    <row r="30" spans="2:6" x14ac:dyDescent="0.2">
      <c r="B30" s="8">
        <v>71.900000000000006</v>
      </c>
      <c r="C30" s="8">
        <v>73.5</v>
      </c>
      <c r="D30" s="8">
        <v>181</v>
      </c>
      <c r="E30" s="8">
        <v>225</v>
      </c>
      <c r="F30" s="12">
        <v>205500</v>
      </c>
    </row>
    <row r="31" spans="2:6" x14ac:dyDescent="0.2">
      <c r="B31" s="8">
        <v>79.099999999999994</v>
      </c>
      <c r="C31" s="8">
        <v>74.599999999999994</v>
      </c>
      <c r="D31" s="8">
        <v>157</v>
      </c>
      <c r="E31" s="8">
        <v>217</v>
      </c>
      <c r="F31" s="12">
        <v>103500</v>
      </c>
    </row>
    <row r="32" spans="2:6" x14ac:dyDescent="0.2">
      <c r="B32" s="8">
        <v>88.7</v>
      </c>
      <c r="C32" s="8">
        <v>75.099999999999994</v>
      </c>
      <c r="D32" s="8">
        <v>266</v>
      </c>
      <c r="E32" s="8">
        <v>353</v>
      </c>
      <c r="F32" s="12">
        <v>340000</v>
      </c>
    </row>
    <row r="33" spans="2:6" x14ac:dyDescent="0.2">
      <c r="B33" s="8">
        <v>80.3</v>
      </c>
      <c r="C33" s="8">
        <v>74.900000000000006</v>
      </c>
      <c r="D33" s="8">
        <v>167</v>
      </c>
      <c r="E33" s="8">
        <v>247</v>
      </c>
      <c r="F33" s="12">
        <v>103500</v>
      </c>
    </row>
    <row r="34" spans="2:6" x14ac:dyDescent="0.2">
      <c r="B34" s="8">
        <v>83</v>
      </c>
      <c r="C34" s="8">
        <v>84.6</v>
      </c>
      <c r="D34" s="8">
        <v>342</v>
      </c>
      <c r="E34" s="8">
        <v>410</v>
      </c>
      <c r="F34" s="12">
        <v>99500</v>
      </c>
    </row>
    <row r="35" spans="2:6" x14ac:dyDescent="0.2">
      <c r="B35" s="8">
        <v>74.099999999999994</v>
      </c>
      <c r="C35" s="8">
        <v>81.7</v>
      </c>
      <c r="D35" s="8">
        <v>349</v>
      </c>
      <c r="E35" s="8">
        <v>395</v>
      </c>
      <c r="F35" s="12">
        <v>103000</v>
      </c>
    </row>
    <row r="36" spans="2:6" x14ac:dyDescent="0.2">
      <c r="B36" s="8">
        <v>79.400000000000006</v>
      </c>
      <c r="C36" s="8">
        <v>81.400000000000006</v>
      </c>
      <c r="D36" s="8">
        <v>340</v>
      </c>
      <c r="E36" s="8">
        <v>416</v>
      </c>
      <c r="F36" s="12">
        <v>103500</v>
      </c>
    </row>
    <row r="37" spans="2:6" x14ac:dyDescent="0.2">
      <c r="B37" s="8">
        <v>88.1</v>
      </c>
      <c r="C37" s="8">
        <v>83.8</v>
      </c>
      <c r="D37" s="8">
        <v>227</v>
      </c>
      <c r="E37" s="8">
        <v>342</v>
      </c>
      <c r="F37" s="12">
        <v>165000</v>
      </c>
    </row>
    <row r="38" spans="2:6" x14ac:dyDescent="0.2">
      <c r="B38" s="8">
        <v>74.599999999999994</v>
      </c>
      <c r="C38" s="8">
        <v>88.5</v>
      </c>
      <c r="D38" s="8">
        <v>409</v>
      </c>
      <c r="E38" s="8">
        <v>446</v>
      </c>
      <c r="F38" s="12">
        <v>124500</v>
      </c>
    </row>
    <row r="39" spans="2:6" x14ac:dyDescent="0.2">
      <c r="B39" s="8">
        <v>87.1</v>
      </c>
      <c r="C39" s="8">
        <v>84.9</v>
      </c>
      <c r="D39" s="8">
        <v>400</v>
      </c>
      <c r="E39" s="8">
        <v>477</v>
      </c>
      <c r="F39" s="12">
        <v>103500</v>
      </c>
    </row>
    <row r="40" spans="2:6" x14ac:dyDescent="0.2">
      <c r="B40" s="8">
        <v>79.7</v>
      </c>
      <c r="C40" s="8">
        <v>84.3</v>
      </c>
      <c r="D40" s="8">
        <v>374</v>
      </c>
      <c r="E40" s="8">
        <v>444</v>
      </c>
      <c r="F40" s="12">
        <v>82500</v>
      </c>
    </row>
    <row r="41" spans="2:6" x14ac:dyDescent="0.2">
      <c r="B41" s="8">
        <v>82.1</v>
      </c>
      <c r="C41" s="8">
        <v>78.2</v>
      </c>
      <c r="D41" s="8">
        <v>255</v>
      </c>
      <c r="E41" s="8">
        <v>351</v>
      </c>
      <c r="F41" s="12">
        <v>93000</v>
      </c>
    </row>
    <row r="42" spans="2:6" x14ac:dyDescent="0.2">
      <c r="B42" s="8">
        <v>81.7</v>
      </c>
      <c r="C42" s="8">
        <v>74.8</v>
      </c>
      <c r="D42" s="8">
        <v>248</v>
      </c>
      <c r="E42" s="8">
        <v>317</v>
      </c>
      <c r="F42" s="12">
        <v>168000</v>
      </c>
    </row>
    <row r="43" spans="2:6" x14ac:dyDescent="0.2">
      <c r="B43" s="8">
        <v>76.099999999999994</v>
      </c>
      <c r="C43" s="8">
        <v>78.5</v>
      </c>
      <c r="D43" s="8">
        <v>198</v>
      </c>
      <c r="E43" s="8">
        <v>250</v>
      </c>
      <c r="F43" s="12">
        <v>96000</v>
      </c>
    </row>
    <row r="44" spans="2:6" x14ac:dyDescent="0.2">
      <c r="B44" s="8">
        <v>75.3</v>
      </c>
      <c r="C44" s="8">
        <v>82.7</v>
      </c>
      <c r="D44" s="8">
        <v>239</v>
      </c>
      <c r="E44" s="8">
        <v>302</v>
      </c>
      <c r="F44" s="12">
        <v>80000</v>
      </c>
    </row>
    <row r="45" spans="2:6" x14ac:dyDescent="0.2">
      <c r="B45" s="8">
        <v>75.7</v>
      </c>
      <c r="C45" s="8">
        <v>84</v>
      </c>
      <c r="D45" s="8">
        <v>340</v>
      </c>
      <c r="E45" s="8">
        <v>373</v>
      </c>
      <c r="F45" s="12">
        <v>124500</v>
      </c>
    </row>
    <row r="46" spans="2:6" x14ac:dyDescent="0.2">
      <c r="B46" s="8">
        <v>70.400000000000006</v>
      </c>
      <c r="C46" s="8">
        <v>78.2</v>
      </c>
      <c r="D46" s="8">
        <v>263</v>
      </c>
      <c r="E46" s="8">
        <v>306</v>
      </c>
      <c r="F46" s="12">
        <v>99000</v>
      </c>
    </row>
    <row r="47" spans="2:6" x14ac:dyDescent="0.2">
      <c r="B47" s="8">
        <v>66.3</v>
      </c>
      <c r="C47" s="8">
        <v>79.7</v>
      </c>
      <c r="D47" s="8">
        <v>301</v>
      </c>
      <c r="E47" s="8">
        <v>338</v>
      </c>
      <c r="F47" s="12">
        <v>124000</v>
      </c>
    </row>
    <row r="48" spans="2:6" x14ac:dyDescent="0.2">
      <c r="B48" s="8">
        <v>66</v>
      </c>
      <c r="C48" s="8">
        <v>78.5</v>
      </c>
      <c r="D48" s="8">
        <v>160</v>
      </c>
      <c r="E48" s="8">
        <v>183</v>
      </c>
      <c r="F48" s="12">
        <v>91500</v>
      </c>
    </row>
    <row r="49" spans="2:6" x14ac:dyDescent="0.2">
      <c r="B49" s="8">
        <v>78.900000000000006</v>
      </c>
      <c r="C49" s="8">
        <v>72</v>
      </c>
      <c r="D49" s="8">
        <v>218</v>
      </c>
      <c r="E49" s="8">
        <v>274</v>
      </c>
      <c r="F49" s="12">
        <v>144500</v>
      </c>
    </row>
    <row r="50" spans="2:6" x14ac:dyDescent="0.2">
      <c r="B50" s="8">
        <v>79.3</v>
      </c>
      <c r="C50" s="8">
        <v>80.7</v>
      </c>
      <c r="D50" s="8">
        <v>236</v>
      </c>
      <c r="E50" s="8">
        <v>309</v>
      </c>
      <c r="F50" s="12">
        <v>114500</v>
      </c>
    </row>
    <row r="51" spans="2:6" x14ac:dyDescent="0.2">
      <c r="B51" s="8">
        <v>88.8</v>
      </c>
      <c r="C51" s="8">
        <v>87.4</v>
      </c>
      <c r="D51" s="8">
        <v>354</v>
      </c>
      <c r="E51" s="8">
        <v>458</v>
      </c>
      <c r="F51" s="12">
        <v>104500</v>
      </c>
    </row>
    <row r="52" spans="2:6" x14ac:dyDescent="0.2">
      <c r="B52" s="8">
        <v>66</v>
      </c>
      <c r="C52" s="8">
        <v>77.400000000000006</v>
      </c>
      <c r="D52" s="8">
        <v>214</v>
      </c>
      <c r="E52" s="8">
        <v>234</v>
      </c>
      <c r="F52" s="12">
        <v>124000</v>
      </c>
    </row>
    <row r="53" spans="2:6" x14ac:dyDescent="0.2">
      <c r="B53" s="8">
        <v>82.9</v>
      </c>
      <c r="C53" s="8">
        <v>84.7</v>
      </c>
      <c r="D53" s="8">
        <v>225</v>
      </c>
      <c r="E53" s="8">
        <v>306</v>
      </c>
      <c r="F53" s="12">
        <v>113000</v>
      </c>
    </row>
    <row r="54" spans="2:6" x14ac:dyDescent="0.2">
      <c r="B54" s="8">
        <v>100</v>
      </c>
      <c r="C54" s="8">
        <v>78.8</v>
      </c>
      <c r="D54" s="8">
        <v>261</v>
      </c>
      <c r="E54" s="8">
        <v>400</v>
      </c>
      <c r="F54" s="12">
        <v>78000</v>
      </c>
    </row>
    <row r="55" spans="2:6" x14ac:dyDescent="0.2">
      <c r="B55" s="8">
        <v>67.5</v>
      </c>
      <c r="C55" s="8">
        <v>88.8</v>
      </c>
      <c r="D55" s="8">
        <v>282</v>
      </c>
      <c r="E55" s="8">
        <v>325</v>
      </c>
      <c r="F55" s="12">
        <v>109000</v>
      </c>
    </row>
    <row r="56" spans="2:6" x14ac:dyDescent="0.2">
      <c r="B56" s="8">
        <v>76</v>
      </c>
      <c r="C56" s="8">
        <v>77.900000000000006</v>
      </c>
      <c r="D56" s="8">
        <v>326</v>
      </c>
      <c r="E56" s="8">
        <v>369</v>
      </c>
      <c r="F56" s="12">
        <v>99500</v>
      </c>
    </row>
    <row r="57" spans="2:6" x14ac:dyDescent="0.2">
      <c r="B57" s="8">
        <v>67.7</v>
      </c>
      <c r="C57" s="8">
        <v>86.1</v>
      </c>
      <c r="D57" s="8">
        <v>421</v>
      </c>
      <c r="E57" s="8">
        <v>457</v>
      </c>
      <c r="F57" s="12">
        <v>107000</v>
      </c>
    </row>
    <row r="58" spans="2:6" x14ac:dyDescent="0.2">
      <c r="B58" s="8">
        <v>68.099999999999994</v>
      </c>
      <c r="C58" s="8">
        <v>83.1</v>
      </c>
      <c r="D58" s="8">
        <v>279</v>
      </c>
      <c r="E58" s="8">
        <v>282</v>
      </c>
      <c r="F58" s="12">
        <v>84000</v>
      </c>
    </row>
  </sheetData>
  <mergeCells count="1">
    <mergeCell ref="H5:L5"/>
  </mergeCells>
  <pageMargins left="0.7" right="0.7" top="0.75" bottom="0.75" header="0.3" footer="0.3"/>
  <pageSetup orientation="portrait" r:id="rId1"/>
  <drawing r:id="rId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D8477-5F6F-4643-97F5-4EDE76918466}">
  <sheetPr codeName="Sheet51">
    <tabColor rgb="FFEFE5F7"/>
  </sheetPr>
  <dimension ref="B1:F100"/>
  <sheetViews>
    <sheetView showGridLines="0" topLeftCell="D1" workbookViewId="0">
      <selection activeCell="M25" sqref="M25"/>
    </sheetView>
  </sheetViews>
  <sheetFormatPr baseColWidth="10" defaultColWidth="8.83203125" defaultRowHeight="15" x14ac:dyDescent="0.2"/>
  <cols>
    <col min="1" max="1" width="2.83203125" customWidth="1"/>
    <col min="2" max="2" width="20.6640625" bestFit="1" customWidth="1"/>
    <col min="3" max="3" width="19.33203125" bestFit="1" customWidth="1"/>
    <col min="5" max="5" width="14.33203125" customWidth="1"/>
    <col min="6" max="6" width="9.1640625" customWidth="1"/>
  </cols>
  <sheetData>
    <row r="1" spans="2:6" ht="25.5" customHeight="1" x14ac:dyDescent="0.25">
      <c r="B1" s="18" t="s">
        <v>244</v>
      </c>
    </row>
    <row r="2" spans="2:6" ht="15" customHeight="1" x14ac:dyDescent="0.2">
      <c r="B2" s="30" t="s">
        <v>237</v>
      </c>
    </row>
    <row r="3" spans="2:6" ht="18" customHeight="1" x14ac:dyDescent="0.2"/>
    <row r="4" spans="2:6" x14ac:dyDescent="0.2">
      <c r="E4" s="3" t="s">
        <v>54</v>
      </c>
    </row>
    <row r="5" spans="2:6" x14ac:dyDescent="0.2">
      <c r="B5" s="43" t="s">
        <v>22</v>
      </c>
      <c r="C5" s="43" t="s">
        <v>23</v>
      </c>
      <c r="E5" s="115" t="s">
        <v>229</v>
      </c>
      <c r="F5" s="115"/>
    </row>
    <row r="6" spans="2:6" x14ac:dyDescent="0.2">
      <c r="B6" s="51">
        <v>252</v>
      </c>
      <c r="C6" s="51">
        <v>276</v>
      </c>
      <c r="E6" s="20" t="s">
        <v>230</v>
      </c>
      <c r="F6" s="87">
        <f>PEARSON(B6:B100,C6:C100)</f>
        <v>0.94886589689776391</v>
      </c>
    </row>
    <row r="7" spans="2:6" x14ac:dyDescent="0.2">
      <c r="B7" s="8">
        <v>423</v>
      </c>
      <c r="C7" s="8">
        <v>410</v>
      </c>
    </row>
    <row r="8" spans="2:6" x14ac:dyDescent="0.2">
      <c r="B8" s="8">
        <v>101</v>
      </c>
      <c r="C8" s="8">
        <v>119</v>
      </c>
    </row>
    <row r="9" spans="2:6" x14ac:dyDescent="0.2">
      <c r="B9" s="8">
        <v>288</v>
      </c>
      <c r="C9" s="8">
        <v>334</v>
      </c>
    </row>
    <row r="10" spans="2:6" x14ac:dyDescent="0.2">
      <c r="B10" s="8">
        <v>248</v>
      </c>
      <c r="C10" s="8">
        <v>252</v>
      </c>
    </row>
    <row r="11" spans="2:6" x14ac:dyDescent="0.2">
      <c r="B11" s="8">
        <v>145</v>
      </c>
      <c r="C11" s="8">
        <v>209</v>
      </c>
    </row>
    <row r="12" spans="2:6" x14ac:dyDescent="0.2">
      <c r="B12" s="8">
        <v>401</v>
      </c>
      <c r="C12" s="8">
        <v>462</v>
      </c>
    </row>
    <row r="13" spans="2:6" x14ac:dyDescent="0.2">
      <c r="B13" s="8">
        <v>287</v>
      </c>
      <c r="C13" s="8">
        <v>342</v>
      </c>
    </row>
    <row r="14" spans="2:6" x14ac:dyDescent="0.2">
      <c r="B14" s="8">
        <v>275</v>
      </c>
      <c r="C14" s="8">
        <v>347</v>
      </c>
    </row>
    <row r="15" spans="2:6" x14ac:dyDescent="0.2">
      <c r="B15" s="8">
        <v>254</v>
      </c>
      <c r="C15" s="8">
        <v>313</v>
      </c>
    </row>
    <row r="16" spans="2:6" x14ac:dyDescent="0.2">
      <c r="B16" s="8">
        <v>182</v>
      </c>
      <c r="C16" s="8">
        <v>232</v>
      </c>
    </row>
    <row r="17" spans="2:3" x14ac:dyDescent="0.2">
      <c r="B17" s="8">
        <v>117</v>
      </c>
      <c r="C17" s="8">
        <v>163</v>
      </c>
    </row>
    <row r="18" spans="2:3" x14ac:dyDescent="0.2">
      <c r="B18" s="8">
        <v>130</v>
      </c>
      <c r="C18" s="8">
        <v>119</v>
      </c>
    </row>
    <row r="19" spans="2:3" x14ac:dyDescent="0.2">
      <c r="B19" s="8">
        <v>219</v>
      </c>
      <c r="C19" s="8">
        <v>304</v>
      </c>
    </row>
    <row r="20" spans="2:3" x14ac:dyDescent="0.2">
      <c r="B20" s="8">
        <v>152</v>
      </c>
      <c r="C20" s="8">
        <v>211</v>
      </c>
    </row>
    <row r="21" spans="2:3" x14ac:dyDescent="0.2">
      <c r="B21" s="8">
        <v>228</v>
      </c>
      <c r="C21" s="8">
        <v>286</v>
      </c>
    </row>
    <row r="22" spans="2:3" x14ac:dyDescent="0.2">
      <c r="B22" s="8">
        <v>62</v>
      </c>
      <c r="C22" s="8">
        <v>122</v>
      </c>
    </row>
    <row r="23" spans="2:3" x14ac:dyDescent="0.2">
      <c r="B23" s="8">
        <v>393</v>
      </c>
      <c r="C23" s="8">
        <v>443</v>
      </c>
    </row>
    <row r="24" spans="2:3" x14ac:dyDescent="0.2">
      <c r="B24" s="8">
        <v>277</v>
      </c>
      <c r="C24" s="8">
        <v>366</v>
      </c>
    </row>
    <row r="25" spans="2:3" x14ac:dyDescent="0.2">
      <c r="B25" s="8">
        <v>206</v>
      </c>
      <c r="C25" s="8">
        <v>244</v>
      </c>
    </row>
    <row r="26" spans="2:3" x14ac:dyDescent="0.2">
      <c r="B26" s="8">
        <v>229</v>
      </c>
      <c r="C26" s="8">
        <v>241</v>
      </c>
    </row>
    <row r="27" spans="2:3" x14ac:dyDescent="0.2">
      <c r="B27" s="8">
        <v>182</v>
      </c>
      <c r="C27" s="8">
        <v>237</v>
      </c>
    </row>
    <row r="28" spans="2:3" x14ac:dyDescent="0.2">
      <c r="B28" s="8">
        <v>98</v>
      </c>
      <c r="C28" s="8">
        <v>122</v>
      </c>
    </row>
    <row r="29" spans="2:3" x14ac:dyDescent="0.2">
      <c r="B29" s="8">
        <v>125</v>
      </c>
      <c r="C29" s="8">
        <v>129</v>
      </c>
    </row>
    <row r="30" spans="2:3" x14ac:dyDescent="0.2">
      <c r="B30" s="8">
        <v>164</v>
      </c>
      <c r="C30" s="8">
        <v>236</v>
      </c>
    </row>
    <row r="31" spans="2:3" x14ac:dyDescent="0.2">
      <c r="B31" s="8">
        <v>186</v>
      </c>
      <c r="C31" s="8">
        <v>251</v>
      </c>
    </row>
    <row r="32" spans="2:3" x14ac:dyDescent="0.2">
      <c r="B32" s="8">
        <v>235</v>
      </c>
      <c r="C32" s="8">
        <v>283</v>
      </c>
    </row>
    <row r="33" spans="2:3" x14ac:dyDescent="0.2">
      <c r="B33" s="8">
        <v>184</v>
      </c>
      <c r="C33" s="8">
        <v>225</v>
      </c>
    </row>
    <row r="34" spans="2:3" x14ac:dyDescent="0.2">
      <c r="B34" s="8">
        <v>76</v>
      </c>
      <c r="C34" s="8">
        <v>102</v>
      </c>
    </row>
    <row r="35" spans="2:3" x14ac:dyDescent="0.2">
      <c r="B35" s="8">
        <v>126</v>
      </c>
      <c r="C35" s="8">
        <v>180</v>
      </c>
    </row>
    <row r="36" spans="2:3" x14ac:dyDescent="0.2">
      <c r="B36" s="8">
        <v>183</v>
      </c>
      <c r="C36" s="8">
        <v>247</v>
      </c>
    </row>
    <row r="37" spans="2:3" x14ac:dyDescent="0.2">
      <c r="B37" s="8">
        <v>242</v>
      </c>
      <c r="C37" s="8">
        <v>343</v>
      </c>
    </row>
    <row r="38" spans="2:3" x14ac:dyDescent="0.2">
      <c r="B38" s="8">
        <v>207</v>
      </c>
      <c r="C38" s="8">
        <v>283</v>
      </c>
    </row>
    <row r="39" spans="2:3" x14ac:dyDescent="0.2">
      <c r="B39" s="8">
        <v>181</v>
      </c>
      <c r="C39" s="8">
        <v>253</v>
      </c>
    </row>
    <row r="40" spans="2:3" x14ac:dyDescent="0.2">
      <c r="B40" s="8">
        <v>239</v>
      </c>
      <c r="C40" s="8">
        <v>263</v>
      </c>
    </row>
    <row r="41" spans="2:3" x14ac:dyDescent="0.2">
      <c r="B41" s="8">
        <v>216</v>
      </c>
      <c r="C41" s="8">
        <v>291</v>
      </c>
    </row>
    <row r="42" spans="2:3" x14ac:dyDescent="0.2">
      <c r="B42" s="8">
        <v>289</v>
      </c>
      <c r="C42" s="8">
        <v>368</v>
      </c>
    </row>
    <row r="43" spans="2:3" x14ac:dyDescent="0.2">
      <c r="B43" s="8">
        <v>213</v>
      </c>
      <c r="C43" s="8">
        <v>206</v>
      </c>
    </row>
    <row r="44" spans="2:3" x14ac:dyDescent="0.2">
      <c r="B44" s="8">
        <v>209</v>
      </c>
      <c r="C44" s="8">
        <v>231</v>
      </c>
    </row>
    <row r="45" spans="2:3" x14ac:dyDescent="0.2">
      <c r="B45" s="8">
        <v>376</v>
      </c>
      <c r="C45" s="8">
        <v>389</v>
      </c>
    </row>
    <row r="46" spans="2:3" x14ac:dyDescent="0.2">
      <c r="B46" s="8">
        <v>332</v>
      </c>
      <c r="C46" s="8">
        <v>396</v>
      </c>
    </row>
    <row r="47" spans="2:3" x14ac:dyDescent="0.2">
      <c r="B47" s="8">
        <v>249</v>
      </c>
      <c r="C47" s="8">
        <v>339</v>
      </c>
    </row>
    <row r="48" spans="2:3" x14ac:dyDescent="0.2">
      <c r="B48" s="8">
        <v>228</v>
      </c>
      <c r="C48" s="8">
        <v>286</v>
      </c>
    </row>
    <row r="49" spans="2:3" x14ac:dyDescent="0.2">
      <c r="B49" s="8">
        <v>124</v>
      </c>
      <c r="C49" s="8">
        <v>146</v>
      </c>
    </row>
    <row r="50" spans="2:3" x14ac:dyDescent="0.2">
      <c r="B50" s="8">
        <v>194</v>
      </c>
      <c r="C50" s="8">
        <v>315</v>
      </c>
    </row>
    <row r="51" spans="2:3" x14ac:dyDescent="0.2">
      <c r="B51" s="8">
        <v>157</v>
      </c>
      <c r="C51" s="8">
        <v>183</v>
      </c>
    </row>
    <row r="52" spans="2:3" x14ac:dyDescent="0.2">
      <c r="B52" s="8">
        <v>402</v>
      </c>
      <c r="C52" s="8">
        <v>481</v>
      </c>
    </row>
    <row r="53" spans="2:3" x14ac:dyDescent="0.2">
      <c r="B53" s="8">
        <v>323</v>
      </c>
      <c r="C53" s="8">
        <v>349</v>
      </c>
    </row>
    <row r="54" spans="2:3" x14ac:dyDescent="0.2">
      <c r="B54" s="8">
        <v>181</v>
      </c>
      <c r="C54" s="8">
        <v>225</v>
      </c>
    </row>
    <row r="55" spans="2:3" x14ac:dyDescent="0.2">
      <c r="B55" s="8">
        <v>157</v>
      </c>
      <c r="C55" s="8">
        <v>217</v>
      </c>
    </row>
    <row r="56" spans="2:3" x14ac:dyDescent="0.2">
      <c r="B56" s="8">
        <v>266</v>
      </c>
      <c r="C56" s="8">
        <v>353</v>
      </c>
    </row>
    <row r="57" spans="2:3" x14ac:dyDescent="0.2">
      <c r="B57" s="8">
        <v>268</v>
      </c>
      <c r="C57" s="8">
        <v>314</v>
      </c>
    </row>
    <row r="58" spans="2:3" x14ac:dyDescent="0.2">
      <c r="B58" s="8">
        <v>167</v>
      </c>
      <c r="C58" s="8">
        <v>247</v>
      </c>
    </row>
    <row r="59" spans="2:3" x14ac:dyDescent="0.2">
      <c r="B59" s="8">
        <v>342</v>
      </c>
      <c r="C59" s="8">
        <v>410</v>
      </c>
    </row>
    <row r="60" spans="2:3" x14ac:dyDescent="0.2">
      <c r="B60" s="8">
        <v>349</v>
      </c>
      <c r="C60" s="8">
        <v>395</v>
      </c>
    </row>
    <row r="61" spans="2:3" x14ac:dyDescent="0.2">
      <c r="B61" s="8">
        <v>340</v>
      </c>
      <c r="C61" s="8">
        <v>416</v>
      </c>
    </row>
    <row r="62" spans="2:3" x14ac:dyDescent="0.2">
      <c r="B62" s="8">
        <v>227</v>
      </c>
      <c r="C62" s="8">
        <v>342</v>
      </c>
    </row>
    <row r="63" spans="2:3" x14ac:dyDescent="0.2">
      <c r="B63" s="8">
        <v>409</v>
      </c>
      <c r="C63" s="8">
        <v>446</v>
      </c>
    </row>
    <row r="64" spans="2:3" x14ac:dyDescent="0.2">
      <c r="B64" s="8">
        <v>400</v>
      </c>
      <c r="C64" s="8">
        <v>477</v>
      </c>
    </row>
    <row r="65" spans="2:3" x14ac:dyDescent="0.2">
      <c r="B65" s="8">
        <v>374</v>
      </c>
      <c r="C65" s="8">
        <v>444</v>
      </c>
    </row>
    <row r="66" spans="2:3" x14ac:dyDescent="0.2">
      <c r="B66" s="8">
        <v>255</v>
      </c>
      <c r="C66" s="8">
        <v>351</v>
      </c>
    </row>
    <row r="67" spans="2:3" x14ac:dyDescent="0.2">
      <c r="B67" s="8">
        <v>146</v>
      </c>
      <c r="C67" s="8">
        <v>165</v>
      </c>
    </row>
    <row r="68" spans="2:3" x14ac:dyDescent="0.2">
      <c r="B68" s="8">
        <v>248</v>
      </c>
      <c r="C68" s="8">
        <v>317</v>
      </c>
    </row>
    <row r="69" spans="2:3" x14ac:dyDescent="0.2">
      <c r="B69" s="8">
        <v>198</v>
      </c>
      <c r="C69" s="8">
        <v>250</v>
      </c>
    </row>
    <row r="70" spans="2:3" x14ac:dyDescent="0.2">
      <c r="B70" s="8">
        <v>210</v>
      </c>
      <c r="C70" s="8">
        <v>217</v>
      </c>
    </row>
    <row r="71" spans="2:3" x14ac:dyDescent="0.2">
      <c r="B71" s="8">
        <v>107</v>
      </c>
      <c r="C71" s="8">
        <v>138</v>
      </c>
    </row>
    <row r="72" spans="2:3" x14ac:dyDescent="0.2">
      <c r="B72" s="8">
        <v>239</v>
      </c>
      <c r="C72" s="8">
        <v>302</v>
      </c>
    </row>
    <row r="73" spans="2:3" x14ac:dyDescent="0.2">
      <c r="B73" s="8">
        <v>287</v>
      </c>
      <c r="C73" s="8">
        <v>311</v>
      </c>
    </row>
    <row r="74" spans="2:3" x14ac:dyDescent="0.2">
      <c r="B74" s="8">
        <v>340</v>
      </c>
      <c r="C74" s="8">
        <v>373</v>
      </c>
    </row>
    <row r="75" spans="2:3" x14ac:dyDescent="0.2">
      <c r="B75" s="8">
        <v>155</v>
      </c>
      <c r="C75" s="8">
        <v>196</v>
      </c>
    </row>
    <row r="76" spans="2:3" x14ac:dyDescent="0.2">
      <c r="B76" s="8">
        <v>263</v>
      </c>
      <c r="C76" s="8">
        <v>306</v>
      </c>
    </row>
    <row r="77" spans="2:3" x14ac:dyDescent="0.2">
      <c r="B77" s="8">
        <v>265</v>
      </c>
      <c r="C77" s="8">
        <v>302</v>
      </c>
    </row>
    <row r="78" spans="2:3" x14ac:dyDescent="0.2">
      <c r="B78" s="8">
        <v>249</v>
      </c>
      <c r="C78" s="8">
        <v>278</v>
      </c>
    </row>
    <row r="79" spans="2:3" x14ac:dyDescent="0.2">
      <c r="B79" s="8">
        <v>377</v>
      </c>
      <c r="C79" s="8">
        <v>429</v>
      </c>
    </row>
    <row r="80" spans="2:3" x14ac:dyDescent="0.2">
      <c r="B80" s="8">
        <v>301</v>
      </c>
      <c r="C80" s="8">
        <v>338</v>
      </c>
    </row>
    <row r="81" spans="2:3" x14ac:dyDescent="0.2">
      <c r="B81" s="8">
        <v>242</v>
      </c>
      <c r="C81" s="8">
        <v>261</v>
      </c>
    </row>
    <row r="82" spans="2:3" x14ac:dyDescent="0.2">
      <c r="B82" s="8">
        <v>211</v>
      </c>
      <c r="C82" s="8">
        <v>256</v>
      </c>
    </row>
    <row r="83" spans="2:3" x14ac:dyDescent="0.2">
      <c r="B83" s="8">
        <v>160</v>
      </c>
      <c r="C83" s="8">
        <v>183</v>
      </c>
    </row>
    <row r="84" spans="2:3" x14ac:dyDescent="0.2">
      <c r="B84" s="8">
        <v>218</v>
      </c>
      <c r="C84" s="8">
        <v>274</v>
      </c>
    </row>
    <row r="85" spans="2:3" x14ac:dyDescent="0.2">
      <c r="B85" s="8">
        <v>133</v>
      </c>
      <c r="C85" s="8">
        <v>182</v>
      </c>
    </row>
    <row r="86" spans="2:3" x14ac:dyDescent="0.2">
      <c r="B86" s="8">
        <v>122</v>
      </c>
      <c r="C86" s="8">
        <v>183</v>
      </c>
    </row>
    <row r="87" spans="2:3" x14ac:dyDescent="0.2">
      <c r="B87" s="8">
        <v>236</v>
      </c>
      <c r="C87" s="8">
        <v>309</v>
      </c>
    </row>
    <row r="88" spans="2:3" x14ac:dyDescent="0.2">
      <c r="B88" s="8">
        <v>143</v>
      </c>
      <c r="C88" s="8">
        <v>178</v>
      </c>
    </row>
    <row r="89" spans="2:3" x14ac:dyDescent="0.2">
      <c r="B89" s="8">
        <v>354</v>
      </c>
      <c r="C89" s="8">
        <v>458</v>
      </c>
    </row>
    <row r="90" spans="2:3" x14ac:dyDescent="0.2">
      <c r="B90" s="8">
        <v>214</v>
      </c>
      <c r="C90" s="8">
        <v>234</v>
      </c>
    </row>
    <row r="91" spans="2:3" x14ac:dyDescent="0.2">
      <c r="B91" s="8">
        <v>225</v>
      </c>
      <c r="C91" s="8">
        <v>306</v>
      </c>
    </row>
    <row r="92" spans="2:3" x14ac:dyDescent="0.2">
      <c r="B92" s="8">
        <v>261</v>
      </c>
      <c r="C92" s="8">
        <v>400</v>
      </c>
    </row>
    <row r="93" spans="2:3" x14ac:dyDescent="0.2">
      <c r="B93" s="8">
        <v>277</v>
      </c>
      <c r="C93" s="8">
        <v>337</v>
      </c>
    </row>
    <row r="94" spans="2:3" x14ac:dyDescent="0.2">
      <c r="B94" s="8">
        <v>282</v>
      </c>
      <c r="C94" s="8">
        <v>325</v>
      </c>
    </row>
    <row r="95" spans="2:3" x14ac:dyDescent="0.2">
      <c r="B95" s="8">
        <v>322</v>
      </c>
      <c r="C95" s="8">
        <v>329</v>
      </c>
    </row>
    <row r="96" spans="2:3" x14ac:dyDescent="0.2">
      <c r="B96" s="8">
        <v>326</v>
      </c>
      <c r="C96" s="8">
        <v>369</v>
      </c>
    </row>
    <row r="97" spans="2:3" x14ac:dyDescent="0.2">
      <c r="B97" s="8">
        <v>421</v>
      </c>
      <c r="C97" s="8">
        <v>457</v>
      </c>
    </row>
    <row r="98" spans="2:3" x14ac:dyDescent="0.2">
      <c r="B98" s="8">
        <v>368</v>
      </c>
      <c r="C98" s="8">
        <v>421</v>
      </c>
    </row>
    <row r="99" spans="2:3" x14ac:dyDescent="0.2">
      <c r="B99" s="8">
        <v>279</v>
      </c>
      <c r="C99" s="8">
        <v>282</v>
      </c>
    </row>
    <row r="100" spans="2:3" x14ac:dyDescent="0.2">
      <c r="B100" s="8">
        <v>268</v>
      </c>
      <c r="C100" s="8">
        <v>256</v>
      </c>
    </row>
  </sheetData>
  <mergeCells count="1">
    <mergeCell ref="E5:F5"/>
  </mergeCells>
  <pageMargins left="0.7" right="0.7" top="0.75" bottom="0.75" header="0.3" footer="0.3"/>
  <pageSetup orientation="portrait" r:id="rId1"/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CACE1-1D95-4229-906E-60D7CBE76054}">
  <sheetPr codeName="Sheet52">
    <tabColor rgb="FFEFE5F7"/>
  </sheetPr>
  <dimension ref="B1:N100"/>
  <sheetViews>
    <sheetView showGridLines="0" topLeftCell="C4" workbookViewId="0">
      <selection activeCell="M6" sqref="M6"/>
    </sheetView>
  </sheetViews>
  <sheetFormatPr baseColWidth="10" defaultColWidth="8.83203125" defaultRowHeight="15" x14ac:dyDescent="0.2"/>
  <cols>
    <col min="1" max="1" width="2.83203125" customWidth="1"/>
    <col min="2" max="2" width="20.6640625" bestFit="1" customWidth="1"/>
    <col min="3" max="3" width="19.33203125" bestFit="1" customWidth="1"/>
    <col min="5" max="5" width="14.33203125" customWidth="1"/>
    <col min="6" max="6" width="9.1640625" customWidth="1"/>
    <col min="8" max="8" width="11.5" customWidth="1"/>
  </cols>
  <sheetData>
    <row r="1" spans="2:14" ht="25.5" customHeight="1" x14ac:dyDescent="0.25">
      <c r="B1" s="18" t="s">
        <v>245</v>
      </c>
    </row>
    <row r="2" spans="2:14" ht="15" customHeight="1" x14ac:dyDescent="0.2">
      <c r="B2" s="30" t="s">
        <v>237</v>
      </c>
    </row>
    <row r="3" spans="2:14" ht="18" customHeight="1" x14ac:dyDescent="0.2"/>
    <row r="4" spans="2:14" x14ac:dyDescent="0.2">
      <c r="E4" s="3" t="s">
        <v>54</v>
      </c>
    </row>
    <row r="5" spans="2:14" x14ac:dyDescent="0.2">
      <c r="B5" s="43" t="s">
        <v>22</v>
      </c>
      <c r="C5" s="43" t="s">
        <v>23</v>
      </c>
      <c r="E5" s="115" t="s">
        <v>229</v>
      </c>
      <c r="F5" s="115"/>
      <c r="H5" s="115" t="s">
        <v>242</v>
      </c>
      <c r="I5" s="115"/>
      <c r="K5" s="115" t="s">
        <v>241</v>
      </c>
      <c r="L5" s="115"/>
    </row>
    <row r="6" spans="2:14" x14ac:dyDescent="0.2">
      <c r="B6" s="51">
        <v>252</v>
      </c>
      <c r="C6" s="51">
        <v>276</v>
      </c>
      <c r="E6" s="20" t="s">
        <v>230</v>
      </c>
      <c r="F6" s="87">
        <f>PEARSON(B6:B100,C6:C100)</f>
        <v>0.94886589689776391</v>
      </c>
      <c r="H6" s="20" t="s">
        <v>239</v>
      </c>
      <c r="I6" s="75">
        <f>INTERCEPT(C6:C100,B6:B100)</f>
        <v>41.63016671209175</v>
      </c>
      <c r="K6" s="20" t="s">
        <v>235</v>
      </c>
      <c r="L6" s="71">
        <v>300</v>
      </c>
      <c r="N6" s="99"/>
    </row>
    <row r="7" spans="2:14" x14ac:dyDescent="0.2">
      <c r="B7" s="8">
        <v>423</v>
      </c>
      <c r="C7" s="8">
        <v>410</v>
      </c>
      <c r="H7" s="20" t="s">
        <v>240</v>
      </c>
      <c r="I7" s="87">
        <f>SLOPE(C6:C100,B6:B100)</f>
        <v>1.0325625976197308</v>
      </c>
      <c r="K7" s="20" t="s">
        <v>236</v>
      </c>
      <c r="L7" s="72">
        <f>_xlfn.FORECAST.LINEAR(L6,C6:C100,B6:B100)</f>
        <v>351.39894599801102</v>
      </c>
    </row>
    <row r="8" spans="2:14" x14ac:dyDescent="0.2">
      <c r="B8" s="8">
        <v>101</v>
      </c>
      <c r="C8" s="8">
        <v>119</v>
      </c>
    </row>
    <row r="9" spans="2:14" x14ac:dyDescent="0.2">
      <c r="B9" s="8">
        <v>288</v>
      </c>
      <c r="C9" s="8">
        <v>334</v>
      </c>
    </row>
    <row r="10" spans="2:14" x14ac:dyDescent="0.2">
      <c r="B10" s="8">
        <v>248</v>
      </c>
      <c r="C10" s="8">
        <v>252</v>
      </c>
    </row>
    <row r="11" spans="2:14" x14ac:dyDescent="0.2">
      <c r="B11" s="8">
        <v>145</v>
      </c>
      <c r="C11" s="8">
        <v>209</v>
      </c>
    </row>
    <row r="12" spans="2:14" x14ac:dyDescent="0.2">
      <c r="B12" s="8">
        <v>401</v>
      </c>
      <c r="C12" s="8">
        <v>462</v>
      </c>
    </row>
    <row r="13" spans="2:14" x14ac:dyDescent="0.2">
      <c r="B13" s="8">
        <v>287</v>
      </c>
      <c r="C13" s="8">
        <v>342</v>
      </c>
    </row>
    <row r="14" spans="2:14" x14ac:dyDescent="0.2">
      <c r="B14" s="8">
        <v>275</v>
      </c>
      <c r="C14" s="8">
        <v>347</v>
      </c>
    </row>
    <row r="15" spans="2:14" x14ac:dyDescent="0.2">
      <c r="B15" s="8">
        <v>254</v>
      </c>
      <c r="C15" s="8">
        <v>313</v>
      </c>
    </row>
    <row r="16" spans="2:14" x14ac:dyDescent="0.2">
      <c r="B16" s="8">
        <v>182</v>
      </c>
      <c r="C16" s="8">
        <v>232</v>
      </c>
    </row>
    <row r="17" spans="2:3" x14ac:dyDescent="0.2">
      <c r="B17" s="8">
        <v>117</v>
      </c>
      <c r="C17" s="8">
        <v>163</v>
      </c>
    </row>
    <row r="18" spans="2:3" x14ac:dyDescent="0.2">
      <c r="B18" s="8">
        <v>130</v>
      </c>
      <c r="C18" s="8">
        <v>119</v>
      </c>
    </row>
    <row r="19" spans="2:3" x14ac:dyDescent="0.2">
      <c r="B19" s="8">
        <v>219</v>
      </c>
      <c r="C19" s="8">
        <v>304</v>
      </c>
    </row>
    <row r="20" spans="2:3" x14ac:dyDescent="0.2">
      <c r="B20" s="8">
        <v>152</v>
      </c>
      <c r="C20" s="8">
        <v>211</v>
      </c>
    </row>
    <row r="21" spans="2:3" x14ac:dyDescent="0.2">
      <c r="B21" s="8">
        <v>228</v>
      </c>
      <c r="C21" s="8">
        <v>286</v>
      </c>
    </row>
    <row r="22" spans="2:3" x14ac:dyDescent="0.2">
      <c r="B22" s="8">
        <v>62</v>
      </c>
      <c r="C22" s="8">
        <v>122</v>
      </c>
    </row>
    <row r="23" spans="2:3" x14ac:dyDescent="0.2">
      <c r="B23" s="8">
        <v>393</v>
      </c>
      <c r="C23" s="8">
        <v>443</v>
      </c>
    </row>
    <row r="24" spans="2:3" x14ac:dyDescent="0.2">
      <c r="B24" s="8">
        <v>277</v>
      </c>
      <c r="C24" s="8">
        <v>366</v>
      </c>
    </row>
    <row r="25" spans="2:3" x14ac:dyDescent="0.2">
      <c r="B25" s="8">
        <v>206</v>
      </c>
      <c r="C25" s="8">
        <v>244</v>
      </c>
    </row>
    <row r="26" spans="2:3" x14ac:dyDescent="0.2">
      <c r="B26" s="8">
        <v>229</v>
      </c>
      <c r="C26" s="8">
        <v>241</v>
      </c>
    </row>
    <row r="27" spans="2:3" x14ac:dyDescent="0.2">
      <c r="B27" s="8">
        <v>182</v>
      </c>
      <c r="C27" s="8">
        <v>237</v>
      </c>
    </row>
    <row r="28" spans="2:3" x14ac:dyDescent="0.2">
      <c r="B28" s="8">
        <v>98</v>
      </c>
      <c r="C28" s="8">
        <v>122</v>
      </c>
    </row>
    <row r="29" spans="2:3" x14ac:dyDescent="0.2">
      <c r="B29" s="8">
        <v>125</v>
      </c>
      <c r="C29" s="8">
        <v>129</v>
      </c>
    </row>
    <row r="30" spans="2:3" x14ac:dyDescent="0.2">
      <c r="B30" s="8">
        <v>164</v>
      </c>
      <c r="C30" s="8">
        <v>236</v>
      </c>
    </row>
    <row r="31" spans="2:3" x14ac:dyDescent="0.2">
      <c r="B31" s="8">
        <v>186</v>
      </c>
      <c r="C31" s="8">
        <v>251</v>
      </c>
    </row>
    <row r="32" spans="2:3" x14ac:dyDescent="0.2">
      <c r="B32" s="8">
        <v>235</v>
      </c>
      <c r="C32" s="8">
        <v>283</v>
      </c>
    </row>
    <row r="33" spans="2:3" x14ac:dyDescent="0.2">
      <c r="B33" s="8">
        <v>184</v>
      </c>
      <c r="C33" s="8">
        <v>225</v>
      </c>
    </row>
    <row r="34" spans="2:3" x14ac:dyDescent="0.2">
      <c r="B34" s="8">
        <v>76</v>
      </c>
      <c r="C34" s="8">
        <v>102</v>
      </c>
    </row>
    <row r="35" spans="2:3" x14ac:dyDescent="0.2">
      <c r="B35" s="8">
        <v>126</v>
      </c>
      <c r="C35" s="8">
        <v>180</v>
      </c>
    </row>
    <row r="36" spans="2:3" x14ac:dyDescent="0.2">
      <c r="B36" s="8">
        <v>183</v>
      </c>
      <c r="C36" s="8">
        <v>247</v>
      </c>
    </row>
    <row r="37" spans="2:3" x14ac:dyDescent="0.2">
      <c r="B37" s="8">
        <v>242</v>
      </c>
      <c r="C37" s="8">
        <v>343</v>
      </c>
    </row>
    <row r="38" spans="2:3" x14ac:dyDescent="0.2">
      <c r="B38" s="8">
        <v>207</v>
      </c>
      <c r="C38" s="8">
        <v>283</v>
      </c>
    </row>
    <row r="39" spans="2:3" x14ac:dyDescent="0.2">
      <c r="B39" s="8">
        <v>181</v>
      </c>
      <c r="C39" s="8">
        <v>253</v>
      </c>
    </row>
    <row r="40" spans="2:3" x14ac:dyDescent="0.2">
      <c r="B40" s="8">
        <v>239</v>
      </c>
      <c r="C40" s="8">
        <v>263</v>
      </c>
    </row>
    <row r="41" spans="2:3" x14ac:dyDescent="0.2">
      <c r="B41" s="8">
        <v>216</v>
      </c>
      <c r="C41" s="8">
        <v>291</v>
      </c>
    </row>
    <row r="42" spans="2:3" x14ac:dyDescent="0.2">
      <c r="B42" s="8">
        <v>289</v>
      </c>
      <c r="C42" s="8">
        <v>368</v>
      </c>
    </row>
    <row r="43" spans="2:3" x14ac:dyDescent="0.2">
      <c r="B43" s="8">
        <v>213</v>
      </c>
      <c r="C43" s="8">
        <v>206</v>
      </c>
    </row>
    <row r="44" spans="2:3" x14ac:dyDescent="0.2">
      <c r="B44" s="8">
        <v>209</v>
      </c>
      <c r="C44" s="8">
        <v>231</v>
      </c>
    </row>
    <row r="45" spans="2:3" x14ac:dyDescent="0.2">
      <c r="B45" s="8">
        <v>376</v>
      </c>
      <c r="C45" s="8">
        <v>389</v>
      </c>
    </row>
    <row r="46" spans="2:3" x14ac:dyDescent="0.2">
      <c r="B46" s="8">
        <v>332</v>
      </c>
      <c r="C46" s="8">
        <v>396</v>
      </c>
    </row>
    <row r="47" spans="2:3" x14ac:dyDescent="0.2">
      <c r="B47" s="8">
        <v>249</v>
      </c>
      <c r="C47" s="8">
        <v>339</v>
      </c>
    </row>
    <row r="48" spans="2:3" x14ac:dyDescent="0.2">
      <c r="B48" s="8">
        <v>228</v>
      </c>
      <c r="C48" s="8">
        <v>286</v>
      </c>
    </row>
    <row r="49" spans="2:3" x14ac:dyDescent="0.2">
      <c r="B49" s="8">
        <v>124</v>
      </c>
      <c r="C49" s="8">
        <v>146</v>
      </c>
    </row>
    <row r="50" spans="2:3" x14ac:dyDescent="0.2">
      <c r="B50" s="8">
        <v>194</v>
      </c>
      <c r="C50" s="8">
        <v>315</v>
      </c>
    </row>
    <row r="51" spans="2:3" x14ac:dyDescent="0.2">
      <c r="B51" s="8">
        <v>157</v>
      </c>
      <c r="C51" s="8">
        <v>183</v>
      </c>
    </row>
    <row r="52" spans="2:3" x14ac:dyDescent="0.2">
      <c r="B52" s="8">
        <v>402</v>
      </c>
      <c r="C52" s="8">
        <v>481</v>
      </c>
    </row>
    <row r="53" spans="2:3" x14ac:dyDescent="0.2">
      <c r="B53" s="8">
        <v>323</v>
      </c>
      <c r="C53" s="8">
        <v>349</v>
      </c>
    </row>
    <row r="54" spans="2:3" x14ac:dyDescent="0.2">
      <c r="B54" s="8">
        <v>181</v>
      </c>
      <c r="C54" s="8">
        <v>225</v>
      </c>
    </row>
    <row r="55" spans="2:3" x14ac:dyDescent="0.2">
      <c r="B55" s="8">
        <v>157</v>
      </c>
      <c r="C55" s="8">
        <v>217</v>
      </c>
    </row>
    <row r="56" spans="2:3" x14ac:dyDescent="0.2">
      <c r="B56" s="8">
        <v>266</v>
      </c>
      <c r="C56" s="8">
        <v>353</v>
      </c>
    </row>
    <row r="57" spans="2:3" x14ac:dyDescent="0.2">
      <c r="B57" s="8">
        <v>268</v>
      </c>
      <c r="C57" s="8">
        <v>314</v>
      </c>
    </row>
    <row r="58" spans="2:3" x14ac:dyDescent="0.2">
      <c r="B58" s="8">
        <v>167</v>
      </c>
      <c r="C58" s="8">
        <v>247</v>
      </c>
    </row>
    <row r="59" spans="2:3" x14ac:dyDescent="0.2">
      <c r="B59" s="8">
        <v>342</v>
      </c>
      <c r="C59" s="8">
        <v>410</v>
      </c>
    </row>
    <row r="60" spans="2:3" x14ac:dyDescent="0.2">
      <c r="B60" s="8">
        <v>349</v>
      </c>
      <c r="C60" s="8">
        <v>395</v>
      </c>
    </row>
    <row r="61" spans="2:3" x14ac:dyDescent="0.2">
      <c r="B61" s="8">
        <v>340</v>
      </c>
      <c r="C61" s="8">
        <v>416</v>
      </c>
    </row>
    <row r="62" spans="2:3" x14ac:dyDescent="0.2">
      <c r="B62" s="8">
        <v>227</v>
      </c>
      <c r="C62" s="8">
        <v>342</v>
      </c>
    </row>
    <row r="63" spans="2:3" x14ac:dyDescent="0.2">
      <c r="B63" s="8">
        <v>409</v>
      </c>
      <c r="C63" s="8">
        <v>446</v>
      </c>
    </row>
    <row r="64" spans="2:3" x14ac:dyDescent="0.2">
      <c r="B64" s="8">
        <v>400</v>
      </c>
      <c r="C64" s="8">
        <v>477</v>
      </c>
    </row>
    <row r="65" spans="2:3" x14ac:dyDescent="0.2">
      <c r="B65" s="8">
        <v>374</v>
      </c>
      <c r="C65" s="8">
        <v>444</v>
      </c>
    </row>
    <row r="66" spans="2:3" x14ac:dyDescent="0.2">
      <c r="B66" s="8">
        <v>255</v>
      </c>
      <c r="C66" s="8">
        <v>351</v>
      </c>
    </row>
    <row r="67" spans="2:3" x14ac:dyDescent="0.2">
      <c r="B67" s="8">
        <v>146</v>
      </c>
      <c r="C67" s="8">
        <v>165</v>
      </c>
    </row>
    <row r="68" spans="2:3" x14ac:dyDescent="0.2">
      <c r="B68" s="8">
        <v>248</v>
      </c>
      <c r="C68" s="8">
        <v>317</v>
      </c>
    </row>
    <row r="69" spans="2:3" x14ac:dyDescent="0.2">
      <c r="B69" s="8">
        <v>198</v>
      </c>
      <c r="C69" s="8">
        <v>250</v>
      </c>
    </row>
    <row r="70" spans="2:3" x14ac:dyDescent="0.2">
      <c r="B70" s="8">
        <v>210</v>
      </c>
      <c r="C70" s="8">
        <v>217</v>
      </c>
    </row>
    <row r="71" spans="2:3" x14ac:dyDescent="0.2">
      <c r="B71" s="8">
        <v>107</v>
      </c>
      <c r="C71" s="8">
        <v>138</v>
      </c>
    </row>
    <row r="72" spans="2:3" x14ac:dyDescent="0.2">
      <c r="B72" s="8">
        <v>239</v>
      </c>
      <c r="C72" s="8">
        <v>302</v>
      </c>
    </row>
    <row r="73" spans="2:3" x14ac:dyDescent="0.2">
      <c r="B73" s="8">
        <v>287</v>
      </c>
      <c r="C73" s="8">
        <v>311</v>
      </c>
    </row>
    <row r="74" spans="2:3" x14ac:dyDescent="0.2">
      <c r="B74" s="8">
        <v>340</v>
      </c>
      <c r="C74" s="8">
        <v>373</v>
      </c>
    </row>
    <row r="75" spans="2:3" x14ac:dyDescent="0.2">
      <c r="B75" s="8">
        <v>155</v>
      </c>
      <c r="C75" s="8">
        <v>196</v>
      </c>
    </row>
    <row r="76" spans="2:3" x14ac:dyDescent="0.2">
      <c r="B76" s="8">
        <v>263</v>
      </c>
      <c r="C76" s="8">
        <v>306</v>
      </c>
    </row>
    <row r="77" spans="2:3" x14ac:dyDescent="0.2">
      <c r="B77" s="8">
        <v>265</v>
      </c>
      <c r="C77" s="8">
        <v>302</v>
      </c>
    </row>
    <row r="78" spans="2:3" x14ac:dyDescent="0.2">
      <c r="B78" s="8">
        <v>249</v>
      </c>
      <c r="C78" s="8">
        <v>278</v>
      </c>
    </row>
    <row r="79" spans="2:3" x14ac:dyDescent="0.2">
      <c r="B79" s="8">
        <v>377</v>
      </c>
      <c r="C79" s="8">
        <v>429</v>
      </c>
    </row>
    <row r="80" spans="2:3" x14ac:dyDescent="0.2">
      <c r="B80" s="8">
        <v>301</v>
      </c>
      <c r="C80" s="8">
        <v>338</v>
      </c>
    </row>
    <row r="81" spans="2:3" x14ac:dyDescent="0.2">
      <c r="B81" s="8">
        <v>242</v>
      </c>
      <c r="C81" s="8">
        <v>261</v>
      </c>
    </row>
    <row r="82" spans="2:3" x14ac:dyDescent="0.2">
      <c r="B82" s="8">
        <v>211</v>
      </c>
      <c r="C82" s="8">
        <v>256</v>
      </c>
    </row>
    <row r="83" spans="2:3" x14ac:dyDescent="0.2">
      <c r="B83" s="8">
        <v>160</v>
      </c>
      <c r="C83" s="8">
        <v>183</v>
      </c>
    </row>
    <row r="84" spans="2:3" x14ac:dyDescent="0.2">
      <c r="B84" s="8">
        <v>218</v>
      </c>
      <c r="C84" s="8">
        <v>274</v>
      </c>
    </row>
    <row r="85" spans="2:3" x14ac:dyDescent="0.2">
      <c r="B85" s="8">
        <v>133</v>
      </c>
      <c r="C85" s="8">
        <v>182</v>
      </c>
    </row>
    <row r="86" spans="2:3" x14ac:dyDescent="0.2">
      <c r="B86" s="8">
        <v>122</v>
      </c>
      <c r="C86" s="8">
        <v>183</v>
      </c>
    </row>
    <row r="87" spans="2:3" x14ac:dyDescent="0.2">
      <c r="B87" s="8">
        <v>236</v>
      </c>
      <c r="C87" s="8">
        <v>309</v>
      </c>
    </row>
    <row r="88" spans="2:3" x14ac:dyDescent="0.2">
      <c r="B88" s="8">
        <v>143</v>
      </c>
      <c r="C88" s="8">
        <v>178</v>
      </c>
    </row>
    <row r="89" spans="2:3" x14ac:dyDescent="0.2">
      <c r="B89" s="8">
        <v>354</v>
      </c>
      <c r="C89" s="8">
        <v>458</v>
      </c>
    </row>
    <row r="90" spans="2:3" x14ac:dyDescent="0.2">
      <c r="B90" s="8">
        <v>214</v>
      </c>
      <c r="C90" s="8">
        <v>234</v>
      </c>
    </row>
    <row r="91" spans="2:3" x14ac:dyDescent="0.2">
      <c r="B91" s="8">
        <v>225</v>
      </c>
      <c r="C91" s="8">
        <v>306</v>
      </c>
    </row>
    <row r="92" spans="2:3" x14ac:dyDescent="0.2">
      <c r="B92" s="8">
        <v>261</v>
      </c>
      <c r="C92" s="8">
        <v>400</v>
      </c>
    </row>
    <row r="93" spans="2:3" x14ac:dyDescent="0.2">
      <c r="B93" s="8">
        <v>277</v>
      </c>
      <c r="C93" s="8">
        <v>337</v>
      </c>
    </row>
    <row r="94" spans="2:3" x14ac:dyDescent="0.2">
      <c r="B94" s="8">
        <v>282</v>
      </c>
      <c r="C94" s="8">
        <v>325</v>
      </c>
    </row>
    <row r="95" spans="2:3" x14ac:dyDescent="0.2">
      <c r="B95" s="8">
        <v>322</v>
      </c>
      <c r="C95" s="8">
        <v>329</v>
      </c>
    </row>
    <row r="96" spans="2:3" x14ac:dyDescent="0.2">
      <c r="B96" s="8">
        <v>326</v>
      </c>
      <c r="C96" s="8">
        <v>369</v>
      </c>
    </row>
    <row r="97" spans="2:3" x14ac:dyDescent="0.2">
      <c r="B97" s="8">
        <v>421</v>
      </c>
      <c r="C97" s="8">
        <v>457</v>
      </c>
    </row>
    <row r="98" spans="2:3" x14ac:dyDescent="0.2">
      <c r="B98" s="8">
        <v>368</v>
      </c>
      <c r="C98" s="8">
        <v>421</v>
      </c>
    </row>
    <row r="99" spans="2:3" x14ac:dyDescent="0.2">
      <c r="B99" s="8">
        <v>279</v>
      </c>
      <c r="C99" s="8">
        <v>282</v>
      </c>
    </row>
    <row r="100" spans="2:3" x14ac:dyDescent="0.2">
      <c r="B100" s="8">
        <v>268</v>
      </c>
      <c r="C100" s="8">
        <v>256</v>
      </c>
    </row>
  </sheetData>
  <mergeCells count="3">
    <mergeCell ref="E5:F5"/>
    <mergeCell ref="K5:L5"/>
    <mergeCell ref="H5:I5"/>
  </mergeCells>
  <pageMargins left="0.7" right="0.7" top="0.75" bottom="0.75" header="0.3" footer="0.3"/>
  <pageSetup orientation="portrait" r:id="rId1"/>
  <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98AC1-D113-40B5-95DF-5017B75EFCAC}">
  <sheetPr codeName="Sheet53">
    <tabColor rgb="FFE2D0F0"/>
  </sheetPr>
  <dimension ref="B1:T100"/>
  <sheetViews>
    <sheetView showGridLines="0" topLeftCell="D1" workbookViewId="0">
      <selection activeCell="S6" sqref="S6:T7"/>
    </sheetView>
  </sheetViews>
  <sheetFormatPr baseColWidth="10" defaultColWidth="8.83203125" defaultRowHeight="15" x14ac:dyDescent="0.2"/>
  <cols>
    <col min="1" max="1" width="2.83203125" customWidth="1"/>
    <col min="2" max="2" width="16" bestFit="1" customWidth="1"/>
    <col min="3" max="3" width="10.6640625" customWidth="1"/>
    <col min="4" max="4" width="20.6640625" bestFit="1" customWidth="1"/>
    <col min="5" max="5" width="19.33203125" customWidth="1"/>
    <col min="6" max="6" width="12.6640625" customWidth="1"/>
    <col min="7" max="7" width="26.33203125" bestFit="1" customWidth="1"/>
    <col min="9" max="9" width="14.33203125" customWidth="1"/>
    <col min="10" max="10" width="17" bestFit="1" customWidth="1"/>
    <col min="11" max="11" width="21.1640625" bestFit="1" customWidth="1"/>
    <col min="12" max="14" width="21.1640625" customWidth="1"/>
    <col min="16" max="16" width="11.5" customWidth="1"/>
    <col min="19" max="19" width="14.1640625" bestFit="1" customWidth="1"/>
  </cols>
  <sheetData>
    <row r="1" spans="2:20" ht="25.5" customHeight="1" x14ac:dyDescent="0.25">
      <c r="B1" s="18" t="s">
        <v>246</v>
      </c>
    </row>
    <row r="2" spans="2:20" ht="15" customHeight="1" x14ac:dyDescent="0.2">
      <c r="B2" s="30" t="s">
        <v>247</v>
      </c>
    </row>
    <row r="3" spans="2:20" ht="18" customHeight="1" x14ac:dyDescent="0.2"/>
    <row r="4" spans="2:20" x14ac:dyDescent="0.2">
      <c r="I4" s="3" t="s">
        <v>54</v>
      </c>
    </row>
    <row r="5" spans="2:20" x14ac:dyDescent="0.2">
      <c r="B5" s="43" t="s">
        <v>76</v>
      </c>
      <c r="C5" s="43" t="s">
        <v>77</v>
      </c>
      <c r="D5" s="43" t="s">
        <v>22</v>
      </c>
      <c r="E5" s="43" t="s">
        <v>23</v>
      </c>
      <c r="F5" s="41" t="s">
        <v>35</v>
      </c>
      <c r="G5" s="42" t="s">
        <v>243</v>
      </c>
      <c r="I5" s="115" t="s">
        <v>229</v>
      </c>
      <c r="J5" s="115"/>
      <c r="K5" s="115"/>
      <c r="L5" s="106"/>
      <c r="M5" s="106"/>
      <c r="N5" s="106"/>
      <c r="P5" s="115" t="s">
        <v>242</v>
      </c>
      <c r="Q5" s="115"/>
      <c r="S5" s="115" t="s">
        <v>241</v>
      </c>
      <c r="T5" s="115"/>
    </row>
    <row r="6" spans="2:20" x14ac:dyDescent="0.2">
      <c r="B6" s="51">
        <v>68.400000000000006</v>
      </c>
      <c r="C6" s="51">
        <v>90.2</v>
      </c>
      <c r="D6" s="51">
        <v>252</v>
      </c>
      <c r="E6" s="51">
        <v>276</v>
      </c>
      <c r="F6" s="52">
        <v>111000</v>
      </c>
      <c r="G6" s="51">
        <f>E6-D6</f>
        <v>24</v>
      </c>
      <c r="J6" s="17" t="s">
        <v>347</v>
      </c>
      <c r="K6" s="17" t="s">
        <v>348</v>
      </c>
      <c r="L6" s="17"/>
      <c r="P6" s="87" t="s">
        <v>239</v>
      </c>
      <c r="Q6" s="75">
        <f>INTERCEPT(G6:G100,B6:B100)</f>
        <v>-223.4190539652177</v>
      </c>
      <c r="S6" s="20" t="s">
        <v>315</v>
      </c>
      <c r="T6" s="71">
        <v>95</v>
      </c>
    </row>
    <row r="7" spans="2:20" x14ac:dyDescent="0.2">
      <c r="B7" s="8">
        <v>62.1</v>
      </c>
      <c r="C7" s="8">
        <v>92.8</v>
      </c>
      <c r="D7" s="8">
        <v>423</v>
      </c>
      <c r="E7" s="51">
        <v>410</v>
      </c>
      <c r="F7" s="52"/>
      <c r="G7" s="51">
        <f t="shared" ref="G7:G70" si="0">E7-D7</f>
        <v>-13</v>
      </c>
      <c r="I7" s="20" t="s">
        <v>230</v>
      </c>
      <c r="J7" s="87">
        <f>CORREL(B6:B100,G6:G100)</f>
        <v>0.92556272300776632</v>
      </c>
      <c r="K7" s="87">
        <f>CORREL(D6:D100,G6:G100)</f>
        <v>9.4366710749681004E-2</v>
      </c>
      <c r="L7" s="87"/>
      <c r="P7" s="87" t="s">
        <v>240</v>
      </c>
      <c r="Q7" s="87">
        <f>SLOPE(G6:G100,B6:B100)</f>
        <v>3.6394257812138537</v>
      </c>
      <c r="S7" s="20" t="s">
        <v>255</v>
      </c>
      <c r="T7" s="72">
        <f>_xlfn.FORECAST.LINEAR(T6,G6:G100,B6:B100)</f>
        <v>122.32639525009841</v>
      </c>
    </row>
    <row r="8" spans="2:20" x14ac:dyDescent="0.2">
      <c r="B8" s="8">
        <v>70.2</v>
      </c>
      <c r="C8" s="8">
        <v>68.7</v>
      </c>
      <c r="D8" s="8">
        <v>101</v>
      </c>
      <c r="E8" s="51">
        <v>119</v>
      </c>
      <c r="F8" s="52">
        <v>107000</v>
      </c>
      <c r="G8" s="51">
        <f t="shared" si="0"/>
        <v>18</v>
      </c>
      <c r="N8" s="87"/>
    </row>
    <row r="9" spans="2:20" x14ac:dyDescent="0.2">
      <c r="B9" s="8">
        <v>75.099999999999994</v>
      </c>
      <c r="C9" s="8">
        <v>80.7</v>
      </c>
      <c r="D9" s="8">
        <v>288</v>
      </c>
      <c r="E9" s="51">
        <v>334</v>
      </c>
      <c r="F9" s="52"/>
      <c r="G9" s="51">
        <f t="shared" si="0"/>
        <v>46</v>
      </c>
    </row>
    <row r="10" spans="2:20" x14ac:dyDescent="0.2">
      <c r="B10" s="8">
        <v>60.9</v>
      </c>
      <c r="C10" s="8">
        <v>74.900000000000006</v>
      </c>
      <c r="D10" s="8">
        <v>248</v>
      </c>
      <c r="E10" s="51">
        <v>252</v>
      </c>
      <c r="F10" s="52"/>
      <c r="G10" s="51">
        <f t="shared" si="0"/>
        <v>4</v>
      </c>
    </row>
    <row r="11" spans="2:20" x14ac:dyDescent="0.2">
      <c r="B11" s="8">
        <v>74.5</v>
      </c>
      <c r="C11" s="8">
        <v>80.7</v>
      </c>
      <c r="D11" s="8">
        <v>145</v>
      </c>
      <c r="E11" s="51">
        <v>209</v>
      </c>
      <c r="F11" s="52"/>
      <c r="G11" s="51">
        <f t="shared" si="0"/>
        <v>64</v>
      </c>
    </row>
    <row r="12" spans="2:20" x14ac:dyDescent="0.2">
      <c r="B12" s="8">
        <v>76.400000000000006</v>
      </c>
      <c r="C12" s="8">
        <v>83.3</v>
      </c>
      <c r="D12" s="8">
        <v>401</v>
      </c>
      <c r="E12" s="51">
        <v>462</v>
      </c>
      <c r="F12" s="52">
        <v>109000</v>
      </c>
      <c r="G12" s="51">
        <f t="shared" si="0"/>
        <v>61</v>
      </c>
    </row>
    <row r="13" spans="2:20" x14ac:dyDescent="0.2">
      <c r="B13" s="8">
        <v>82.6</v>
      </c>
      <c r="C13" s="8">
        <v>88.7</v>
      </c>
      <c r="D13" s="8">
        <v>287</v>
      </c>
      <c r="E13" s="51">
        <v>342</v>
      </c>
      <c r="F13" s="52">
        <v>148000</v>
      </c>
      <c r="G13" s="51">
        <f t="shared" si="0"/>
        <v>55</v>
      </c>
    </row>
    <row r="14" spans="2:20" x14ac:dyDescent="0.2">
      <c r="B14" s="8">
        <v>76.900000000000006</v>
      </c>
      <c r="C14" s="8">
        <v>75.400000000000006</v>
      </c>
      <c r="D14" s="8">
        <v>275</v>
      </c>
      <c r="E14" s="51">
        <v>347</v>
      </c>
      <c r="F14" s="52">
        <v>255500</v>
      </c>
      <c r="G14" s="51">
        <f t="shared" si="0"/>
        <v>72</v>
      </c>
    </row>
    <row r="15" spans="2:20" x14ac:dyDescent="0.2">
      <c r="B15" s="8">
        <v>83.3</v>
      </c>
      <c r="C15" s="8">
        <v>82.1</v>
      </c>
      <c r="D15" s="8">
        <v>254</v>
      </c>
      <c r="E15" s="51">
        <v>313</v>
      </c>
      <c r="F15" s="52">
        <v>103500</v>
      </c>
      <c r="G15" s="51">
        <f t="shared" si="0"/>
        <v>59</v>
      </c>
    </row>
    <row r="16" spans="2:20" x14ac:dyDescent="0.2">
      <c r="B16" s="8">
        <v>75.8</v>
      </c>
      <c r="C16" s="8">
        <v>87.5</v>
      </c>
      <c r="D16" s="8">
        <v>182</v>
      </c>
      <c r="E16" s="51">
        <v>232</v>
      </c>
      <c r="F16" s="52"/>
      <c r="G16" s="51">
        <f t="shared" si="0"/>
        <v>50</v>
      </c>
    </row>
    <row r="17" spans="2:7" x14ac:dyDescent="0.2">
      <c r="B17" s="8">
        <v>76</v>
      </c>
      <c r="C17" s="8">
        <v>66.900000000000006</v>
      </c>
      <c r="D17" s="8">
        <v>117</v>
      </c>
      <c r="E17" s="51">
        <v>163</v>
      </c>
      <c r="F17" s="52">
        <v>114500</v>
      </c>
      <c r="G17" s="51">
        <f t="shared" si="0"/>
        <v>46</v>
      </c>
    </row>
    <row r="18" spans="2:7" x14ac:dyDescent="0.2">
      <c r="B18" s="8">
        <v>62.8</v>
      </c>
      <c r="C18" s="8">
        <v>71.3</v>
      </c>
      <c r="D18" s="8">
        <v>130</v>
      </c>
      <c r="E18" s="51">
        <v>119</v>
      </c>
      <c r="F18" s="52"/>
      <c r="G18" s="51">
        <f t="shared" si="0"/>
        <v>-11</v>
      </c>
    </row>
    <row r="19" spans="2:7" x14ac:dyDescent="0.2">
      <c r="B19" s="8">
        <v>82.8</v>
      </c>
      <c r="C19" s="8">
        <v>76.8</v>
      </c>
      <c r="D19" s="8">
        <v>219</v>
      </c>
      <c r="E19" s="51">
        <v>304</v>
      </c>
      <c r="F19" s="52">
        <v>124000</v>
      </c>
      <c r="G19" s="51">
        <f t="shared" si="0"/>
        <v>85</v>
      </c>
    </row>
    <row r="20" spans="2:7" x14ac:dyDescent="0.2">
      <c r="B20" s="8">
        <v>76</v>
      </c>
      <c r="C20" s="8">
        <v>72.3</v>
      </c>
      <c r="D20" s="8">
        <v>152</v>
      </c>
      <c r="E20" s="51">
        <v>211</v>
      </c>
      <c r="F20" s="52">
        <v>132500</v>
      </c>
      <c r="G20" s="51">
        <f t="shared" si="0"/>
        <v>59</v>
      </c>
    </row>
    <row r="21" spans="2:7" x14ac:dyDescent="0.2">
      <c r="B21" s="8">
        <v>76.900000000000006</v>
      </c>
      <c r="C21" s="8">
        <v>72.400000000000006</v>
      </c>
      <c r="D21" s="8">
        <v>228</v>
      </c>
      <c r="E21" s="51">
        <v>286</v>
      </c>
      <c r="F21" s="52">
        <v>99000</v>
      </c>
      <c r="G21" s="51">
        <f t="shared" si="0"/>
        <v>58</v>
      </c>
    </row>
    <row r="22" spans="2:7" x14ac:dyDescent="0.2">
      <c r="B22" s="8">
        <v>75.8</v>
      </c>
      <c r="C22" s="8">
        <v>72</v>
      </c>
      <c r="D22" s="8">
        <v>62</v>
      </c>
      <c r="E22" s="51">
        <v>122</v>
      </c>
      <c r="F22" s="52"/>
      <c r="G22" s="51">
        <f t="shared" si="0"/>
        <v>60</v>
      </c>
    </row>
    <row r="23" spans="2:7" x14ac:dyDescent="0.2">
      <c r="B23" s="8">
        <v>78</v>
      </c>
      <c r="C23" s="8">
        <v>81</v>
      </c>
      <c r="D23" s="8">
        <v>393</v>
      </c>
      <c r="E23" s="51">
        <v>443</v>
      </c>
      <c r="F23" s="52">
        <v>124000</v>
      </c>
      <c r="G23" s="51">
        <f t="shared" si="0"/>
        <v>50</v>
      </c>
    </row>
    <row r="24" spans="2:7" x14ac:dyDescent="0.2">
      <c r="B24" s="8">
        <v>82.4</v>
      </c>
      <c r="C24" s="8">
        <v>96.1</v>
      </c>
      <c r="D24" s="8">
        <v>277</v>
      </c>
      <c r="E24" s="51">
        <v>366</v>
      </c>
      <c r="F24" s="52"/>
      <c r="G24" s="51">
        <f t="shared" si="0"/>
        <v>89</v>
      </c>
    </row>
    <row r="25" spans="2:7" x14ac:dyDescent="0.2">
      <c r="B25" s="8">
        <v>76.2</v>
      </c>
      <c r="C25" s="8">
        <v>76.7</v>
      </c>
      <c r="D25" s="8">
        <v>206</v>
      </c>
      <c r="E25" s="51">
        <v>244</v>
      </c>
      <c r="F25" s="52"/>
      <c r="G25" s="51">
        <f t="shared" si="0"/>
        <v>38</v>
      </c>
    </row>
    <row r="26" spans="2:7" x14ac:dyDescent="0.2">
      <c r="B26" s="8">
        <v>62.5</v>
      </c>
      <c r="C26" s="8">
        <v>80.3</v>
      </c>
      <c r="D26" s="8">
        <v>229</v>
      </c>
      <c r="E26" s="51">
        <v>241</v>
      </c>
      <c r="F26" s="52"/>
      <c r="G26" s="51">
        <f t="shared" si="0"/>
        <v>12</v>
      </c>
    </row>
    <row r="27" spans="2:7" x14ac:dyDescent="0.2">
      <c r="B27" s="8">
        <v>78</v>
      </c>
      <c r="C27" s="8">
        <v>77.8</v>
      </c>
      <c r="D27" s="8">
        <v>182</v>
      </c>
      <c r="E27" s="51">
        <v>237</v>
      </c>
      <c r="F27" s="52">
        <v>82000</v>
      </c>
      <c r="G27" s="51">
        <f t="shared" si="0"/>
        <v>55</v>
      </c>
    </row>
    <row r="28" spans="2:7" x14ac:dyDescent="0.2">
      <c r="B28" s="8">
        <v>66.5</v>
      </c>
      <c r="C28" s="8">
        <v>62.6</v>
      </c>
      <c r="D28" s="8">
        <v>98</v>
      </c>
      <c r="E28" s="51">
        <v>122</v>
      </c>
      <c r="F28" s="52"/>
      <c r="G28" s="51">
        <f t="shared" si="0"/>
        <v>24</v>
      </c>
    </row>
    <row r="29" spans="2:7" x14ac:dyDescent="0.2">
      <c r="B29" s="8">
        <v>63.5</v>
      </c>
      <c r="C29" s="8">
        <v>80.2</v>
      </c>
      <c r="D29" s="8">
        <v>125</v>
      </c>
      <c r="E29" s="51">
        <v>129</v>
      </c>
      <c r="F29" s="52"/>
      <c r="G29" s="51">
        <f t="shared" si="0"/>
        <v>4</v>
      </c>
    </row>
    <row r="30" spans="2:7" x14ac:dyDescent="0.2">
      <c r="B30" s="8">
        <v>82.6</v>
      </c>
      <c r="C30" s="8">
        <v>79.099999999999994</v>
      </c>
      <c r="D30" s="8">
        <v>164</v>
      </c>
      <c r="E30" s="51">
        <v>236</v>
      </c>
      <c r="F30" s="52">
        <v>185000</v>
      </c>
      <c r="G30" s="51">
        <f t="shared" si="0"/>
        <v>72</v>
      </c>
    </row>
    <row r="31" spans="2:7" x14ac:dyDescent="0.2">
      <c r="B31" s="8">
        <v>79.2</v>
      </c>
      <c r="C31" s="8">
        <v>77.8</v>
      </c>
      <c r="D31" s="8">
        <v>186</v>
      </c>
      <c r="E31" s="51">
        <v>251</v>
      </c>
      <c r="F31" s="52">
        <v>89500</v>
      </c>
      <c r="G31" s="51">
        <f t="shared" si="0"/>
        <v>65</v>
      </c>
    </row>
    <row r="32" spans="2:7" x14ac:dyDescent="0.2">
      <c r="B32" s="8">
        <v>75</v>
      </c>
      <c r="C32" s="8">
        <v>75.099999999999994</v>
      </c>
      <c r="D32" s="8">
        <v>235</v>
      </c>
      <c r="E32" s="51">
        <v>283</v>
      </c>
      <c r="F32" s="52">
        <v>91500</v>
      </c>
      <c r="G32" s="51">
        <f t="shared" si="0"/>
        <v>48</v>
      </c>
    </row>
    <row r="33" spans="2:7" x14ac:dyDescent="0.2">
      <c r="B33" s="8">
        <v>74.400000000000006</v>
      </c>
      <c r="C33" s="8">
        <v>82.2</v>
      </c>
      <c r="D33" s="8">
        <v>184</v>
      </c>
      <c r="E33" s="51">
        <v>225</v>
      </c>
      <c r="F33" s="52"/>
      <c r="G33" s="51">
        <f t="shared" si="0"/>
        <v>41</v>
      </c>
    </row>
    <row r="34" spans="2:7" x14ac:dyDescent="0.2">
      <c r="B34" s="8">
        <v>67.900000000000006</v>
      </c>
      <c r="C34" s="8">
        <v>70.5</v>
      </c>
      <c r="D34" s="8">
        <v>76</v>
      </c>
      <c r="E34" s="51">
        <v>102</v>
      </c>
      <c r="F34" s="52"/>
      <c r="G34" s="51">
        <f t="shared" si="0"/>
        <v>26</v>
      </c>
    </row>
    <row r="35" spans="2:7" x14ac:dyDescent="0.2">
      <c r="B35" s="8">
        <v>76.8</v>
      </c>
      <c r="C35" s="8">
        <v>70.8</v>
      </c>
      <c r="D35" s="8">
        <v>126</v>
      </c>
      <c r="E35" s="51">
        <v>180</v>
      </c>
      <c r="F35" s="52">
        <v>113500</v>
      </c>
      <c r="G35" s="51">
        <f t="shared" si="0"/>
        <v>54</v>
      </c>
    </row>
    <row r="36" spans="2:7" x14ac:dyDescent="0.2">
      <c r="B36" s="8">
        <v>83</v>
      </c>
      <c r="C36" s="8">
        <v>87.5</v>
      </c>
      <c r="D36" s="8">
        <v>183</v>
      </c>
      <c r="E36" s="51">
        <v>247</v>
      </c>
      <c r="F36" s="52"/>
      <c r="G36" s="51">
        <f t="shared" si="0"/>
        <v>64</v>
      </c>
    </row>
    <row r="37" spans="2:7" x14ac:dyDescent="0.2">
      <c r="B37" s="8">
        <v>88.9</v>
      </c>
      <c r="C37" s="8">
        <v>79.5</v>
      </c>
      <c r="D37" s="8">
        <v>242</v>
      </c>
      <c r="E37" s="51">
        <v>343</v>
      </c>
      <c r="F37" s="52"/>
      <c r="G37" s="51">
        <f t="shared" si="0"/>
        <v>101</v>
      </c>
    </row>
    <row r="38" spans="2:7" x14ac:dyDescent="0.2">
      <c r="B38" s="8">
        <v>76.5</v>
      </c>
      <c r="C38" s="8">
        <v>80.8</v>
      </c>
      <c r="D38" s="8">
        <v>207</v>
      </c>
      <c r="E38" s="51">
        <v>283</v>
      </c>
      <c r="F38" s="52"/>
      <c r="G38" s="51">
        <f t="shared" si="0"/>
        <v>76</v>
      </c>
    </row>
    <row r="39" spans="2:7" x14ac:dyDescent="0.2">
      <c r="B39" s="8">
        <v>79.900000000000006</v>
      </c>
      <c r="C39" s="8">
        <v>79.599999999999994</v>
      </c>
      <c r="D39" s="8">
        <v>181</v>
      </c>
      <c r="E39" s="51">
        <v>253</v>
      </c>
      <c r="F39" s="52">
        <v>99000</v>
      </c>
      <c r="G39" s="51">
        <f t="shared" si="0"/>
        <v>72</v>
      </c>
    </row>
    <row r="40" spans="2:7" x14ac:dyDescent="0.2">
      <c r="B40" s="8">
        <v>70.400000000000006</v>
      </c>
      <c r="C40" s="8">
        <v>88.9</v>
      </c>
      <c r="D40" s="8">
        <v>239</v>
      </c>
      <c r="E40" s="51">
        <v>263</v>
      </c>
      <c r="F40" s="52"/>
      <c r="G40" s="51">
        <f t="shared" si="0"/>
        <v>24</v>
      </c>
    </row>
    <row r="41" spans="2:7" x14ac:dyDescent="0.2">
      <c r="B41" s="8">
        <v>83.4</v>
      </c>
      <c r="C41" s="8">
        <v>85.9</v>
      </c>
      <c r="D41" s="8">
        <v>216</v>
      </c>
      <c r="E41" s="51">
        <v>291</v>
      </c>
      <c r="F41" s="52">
        <v>75500</v>
      </c>
      <c r="G41" s="51">
        <f t="shared" si="0"/>
        <v>75</v>
      </c>
    </row>
    <row r="42" spans="2:7" x14ac:dyDescent="0.2">
      <c r="B42" s="8">
        <v>79.2</v>
      </c>
      <c r="C42" s="8">
        <v>82.3</v>
      </c>
      <c r="D42" s="8">
        <v>289</v>
      </c>
      <c r="E42" s="51">
        <v>368</v>
      </c>
      <c r="F42" s="52">
        <v>86000</v>
      </c>
      <c r="G42" s="51">
        <f t="shared" si="0"/>
        <v>79</v>
      </c>
    </row>
    <row r="43" spans="2:7" x14ac:dyDescent="0.2">
      <c r="B43" s="8">
        <v>61.2</v>
      </c>
      <c r="C43" s="8">
        <v>76.7</v>
      </c>
      <c r="D43" s="8">
        <v>213</v>
      </c>
      <c r="E43" s="51">
        <v>206</v>
      </c>
      <c r="F43" s="52"/>
      <c r="G43" s="51">
        <f t="shared" si="0"/>
        <v>-7</v>
      </c>
    </row>
    <row r="44" spans="2:7" x14ac:dyDescent="0.2">
      <c r="B44" s="8">
        <v>64</v>
      </c>
      <c r="C44" s="8">
        <v>79.900000000000006</v>
      </c>
      <c r="D44" s="8">
        <v>209</v>
      </c>
      <c r="E44" s="51">
        <v>231</v>
      </c>
      <c r="F44" s="52"/>
      <c r="G44" s="51">
        <f t="shared" si="0"/>
        <v>22</v>
      </c>
    </row>
    <row r="45" spans="2:7" x14ac:dyDescent="0.2">
      <c r="B45" s="8">
        <v>68</v>
      </c>
      <c r="C45" s="8">
        <v>86.2</v>
      </c>
      <c r="D45" s="8">
        <v>376</v>
      </c>
      <c r="E45" s="51">
        <v>389</v>
      </c>
      <c r="F45" s="52"/>
      <c r="G45" s="51">
        <f t="shared" si="0"/>
        <v>13</v>
      </c>
    </row>
    <row r="46" spans="2:7" x14ac:dyDescent="0.2">
      <c r="B46" s="8">
        <v>78.5</v>
      </c>
      <c r="C46" s="8">
        <v>79.2</v>
      </c>
      <c r="D46" s="8">
        <v>332</v>
      </c>
      <c r="E46" s="51">
        <v>396</v>
      </c>
      <c r="F46" s="52">
        <v>156500</v>
      </c>
      <c r="G46" s="51">
        <f t="shared" si="0"/>
        <v>64</v>
      </c>
    </row>
    <row r="47" spans="2:7" x14ac:dyDescent="0.2">
      <c r="B47" s="8">
        <v>83</v>
      </c>
      <c r="C47" s="8">
        <v>83.4</v>
      </c>
      <c r="D47" s="8">
        <v>249</v>
      </c>
      <c r="E47" s="51">
        <v>339</v>
      </c>
      <c r="F47" s="52">
        <v>99500</v>
      </c>
      <c r="G47" s="51">
        <f t="shared" si="0"/>
        <v>90</v>
      </c>
    </row>
    <row r="48" spans="2:7" x14ac:dyDescent="0.2">
      <c r="B48" s="8">
        <v>75.2</v>
      </c>
      <c r="C48" s="8">
        <v>85.2</v>
      </c>
      <c r="D48" s="8">
        <v>228</v>
      </c>
      <c r="E48" s="51">
        <v>286</v>
      </c>
      <c r="F48" s="52">
        <v>148000</v>
      </c>
      <c r="G48" s="51">
        <f t="shared" si="0"/>
        <v>58</v>
      </c>
    </row>
    <row r="49" spans="2:7" x14ac:dyDescent="0.2">
      <c r="B49" s="8">
        <v>68.099999999999994</v>
      </c>
      <c r="C49" s="8">
        <v>77.8</v>
      </c>
      <c r="D49" s="8">
        <v>124</v>
      </c>
      <c r="E49" s="51">
        <v>146</v>
      </c>
      <c r="F49" s="52"/>
      <c r="G49" s="51">
        <f t="shared" si="0"/>
        <v>22</v>
      </c>
    </row>
    <row r="50" spans="2:7" x14ac:dyDescent="0.2">
      <c r="B50" s="8">
        <v>93.6</v>
      </c>
      <c r="C50" s="8">
        <v>80.2</v>
      </c>
      <c r="D50" s="8">
        <v>194</v>
      </c>
      <c r="E50" s="51">
        <v>315</v>
      </c>
      <c r="F50" s="52">
        <v>82000</v>
      </c>
      <c r="G50" s="51">
        <f t="shared" si="0"/>
        <v>121</v>
      </c>
    </row>
    <row r="51" spans="2:7" x14ac:dyDescent="0.2">
      <c r="B51" s="8">
        <v>75.599999999999994</v>
      </c>
      <c r="C51" s="8">
        <v>71</v>
      </c>
      <c r="D51" s="8">
        <v>157</v>
      </c>
      <c r="E51" s="51">
        <v>183</v>
      </c>
      <c r="F51" s="52"/>
      <c r="G51" s="51">
        <f t="shared" si="0"/>
        <v>26</v>
      </c>
    </row>
    <row r="52" spans="2:7" x14ac:dyDescent="0.2">
      <c r="B52" s="8">
        <v>82.3</v>
      </c>
      <c r="C52" s="8">
        <v>87.2</v>
      </c>
      <c r="D52" s="8">
        <v>402</v>
      </c>
      <c r="E52" s="51">
        <v>481</v>
      </c>
      <c r="F52" s="52">
        <v>103500</v>
      </c>
      <c r="G52" s="51">
        <f t="shared" si="0"/>
        <v>79</v>
      </c>
    </row>
    <row r="53" spans="2:7" x14ac:dyDescent="0.2">
      <c r="B53" s="8">
        <v>71.400000000000006</v>
      </c>
      <c r="C53" s="8">
        <v>82.9</v>
      </c>
      <c r="D53" s="8">
        <v>323</v>
      </c>
      <c r="E53" s="51">
        <v>349</v>
      </c>
      <c r="F53" s="52"/>
      <c r="G53" s="51">
        <f t="shared" si="0"/>
        <v>26</v>
      </c>
    </row>
    <row r="54" spans="2:7" x14ac:dyDescent="0.2">
      <c r="B54" s="8">
        <v>71.900000000000006</v>
      </c>
      <c r="C54" s="8">
        <v>73.5</v>
      </c>
      <c r="D54" s="8">
        <v>181</v>
      </c>
      <c r="E54" s="51">
        <v>225</v>
      </c>
      <c r="F54" s="52">
        <v>205500</v>
      </c>
      <c r="G54" s="51">
        <f t="shared" si="0"/>
        <v>44</v>
      </c>
    </row>
    <row r="55" spans="2:7" x14ac:dyDescent="0.2">
      <c r="B55" s="8">
        <v>79.099999999999994</v>
      </c>
      <c r="C55" s="8">
        <v>74.599999999999994</v>
      </c>
      <c r="D55" s="8">
        <v>157</v>
      </c>
      <c r="E55" s="51">
        <v>217</v>
      </c>
      <c r="F55" s="52">
        <v>103500</v>
      </c>
      <c r="G55" s="51">
        <f t="shared" si="0"/>
        <v>60</v>
      </c>
    </row>
    <row r="56" spans="2:7" x14ac:dyDescent="0.2">
      <c r="B56" s="8">
        <v>88.7</v>
      </c>
      <c r="C56" s="8">
        <v>75.099999999999994</v>
      </c>
      <c r="D56" s="8">
        <v>266</v>
      </c>
      <c r="E56" s="51">
        <v>353</v>
      </c>
      <c r="F56" s="52">
        <v>340000</v>
      </c>
      <c r="G56" s="51">
        <f t="shared" si="0"/>
        <v>87</v>
      </c>
    </row>
    <row r="57" spans="2:7" x14ac:dyDescent="0.2">
      <c r="B57" s="8">
        <v>69.400000000000006</v>
      </c>
      <c r="C57" s="8">
        <v>85.1</v>
      </c>
      <c r="D57" s="8">
        <v>268</v>
      </c>
      <c r="E57" s="51">
        <v>314</v>
      </c>
      <c r="F57" s="52"/>
      <c r="G57" s="51">
        <f t="shared" si="0"/>
        <v>46</v>
      </c>
    </row>
    <row r="58" spans="2:7" x14ac:dyDescent="0.2">
      <c r="B58" s="8">
        <v>80.3</v>
      </c>
      <c r="C58" s="8">
        <v>74.900000000000006</v>
      </c>
      <c r="D58" s="8">
        <v>167</v>
      </c>
      <c r="E58" s="51">
        <v>247</v>
      </c>
      <c r="F58" s="52">
        <v>103500</v>
      </c>
      <c r="G58" s="51">
        <f t="shared" si="0"/>
        <v>80</v>
      </c>
    </row>
    <row r="59" spans="2:7" x14ac:dyDescent="0.2">
      <c r="B59" s="8">
        <v>83</v>
      </c>
      <c r="C59" s="8">
        <v>84.6</v>
      </c>
      <c r="D59" s="8">
        <v>342</v>
      </c>
      <c r="E59" s="51">
        <v>410</v>
      </c>
      <c r="F59" s="52">
        <v>99500</v>
      </c>
      <c r="G59" s="51">
        <f t="shared" si="0"/>
        <v>68</v>
      </c>
    </row>
    <row r="60" spans="2:7" x14ac:dyDescent="0.2">
      <c r="B60" s="8">
        <v>74.099999999999994</v>
      </c>
      <c r="C60" s="8">
        <v>81.7</v>
      </c>
      <c r="D60" s="8">
        <v>349</v>
      </c>
      <c r="E60" s="51">
        <v>395</v>
      </c>
      <c r="F60" s="52">
        <v>103000</v>
      </c>
      <c r="G60" s="51">
        <f t="shared" si="0"/>
        <v>46</v>
      </c>
    </row>
    <row r="61" spans="2:7" x14ac:dyDescent="0.2">
      <c r="B61" s="8">
        <v>79.400000000000006</v>
      </c>
      <c r="C61" s="8">
        <v>81.400000000000006</v>
      </c>
      <c r="D61" s="8">
        <v>340</v>
      </c>
      <c r="E61" s="51">
        <v>416</v>
      </c>
      <c r="F61" s="52">
        <v>103500</v>
      </c>
      <c r="G61" s="51">
        <f t="shared" si="0"/>
        <v>76</v>
      </c>
    </row>
    <row r="62" spans="2:7" x14ac:dyDescent="0.2">
      <c r="B62" s="8">
        <v>88.1</v>
      </c>
      <c r="C62" s="8">
        <v>83.8</v>
      </c>
      <c r="D62" s="8">
        <v>227</v>
      </c>
      <c r="E62" s="51">
        <v>342</v>
      </c>
      <c r="F62" s="52">
        <v>165000</v>
      </c>
      <c r="G62" s="51">
        <f t="shared" si="0"/>
        <v>115</v>
      </c>
    </row>
    <row r="63" spans="2:7" x14ac:dyDescent="0.2">
      <c r="B63" s="8">
        <v>74.599999999999994</v>
      </c>
      <c r="C63" s="8">
        <v>88.5</v>
      </c>
      <c r="D63" s="8">
        <v>409</v>
      </c>
      <c r="E63" s="51">
        <v>446</v>
      </c>
      <c r="F63" s="52">
        <v>124500</v>
      </c>
      <c r="G63" s="51">
        <f t="shared" si="0"/>
        <v>37</v>
      </c>
    </row>
    <row r="64" spans="2:7" x14ac:dyDescent="0.2">
      <c r="B64" s="8">
        <v>87.1</v>
      </c>
      <c r="C64" s="8">
        <v>84.9</v>
      </c>
      <c r="D64" s="8">
        <v>400</v>
      </c>
      <c r="E64" s="51">
        <v>477</v>
      </c>
      <c r="F64" s="52">
        <v>103500</v>
      </c>
      <c r="G64" s="51">
        <f t="shared" si="0"/>
        <v>77</v>
      </c>
    </row>
    <row r="65" spans="2:7" x14ac:dyDescent="0.2">
      <c r="B65" s="8">
        <v>79.7</v>
      </c>
      <c r="C65" s="8">
        <v>84.3</v>
      </c>
      <c r="D65" s="8">
        <v>374</v>
      </c>
      <c r="E65" s="51">
        <v>444</v>
      </c>
      <c r="F65" s="52">
        <v>82500</v>
      </c>
      <c r="G65" s="51">
        <f t="shared" si="0"/>
        <v>70</v>
      </c>
    </row>
    <row r="66" spans="2:7" x14ac:dyDescent="0.2">
      <c r="B66" s="8">
        <v>82.1</v>
      </c>
      <c r="C66" s="8">
        <v>78.2</v>
      </c>
      <c r="D66" s="8">
        <v>255</v>
      </c>
      <c r="E66" s="51">
        <v>351</v>
      </c>
      <c r="F66" s="52">
        <v>93000</v>
      </c>
      <c r="G66" s="51">
        <f t="shared" si="0"/>
        <v>96</v>
      </c>
    </row>
    <row r="67" spans="2:7" x14ac:dyDescent="0.2">
      <c r="B67" s="8">
        <v>70.2</v>
      </c>
      <c r="C67" s="8">
        <v>80</v>
      </c>
      <c r="D67" s="8">
        <v>146</v>
      </c>
      <c r="E67" s="51">
        <v>165</v>
      </c>
      <c r="F67" s="52"/>
      <c r="G67" s="51">
        <f t="shared" si="0"/>
        <v>19</v>
      </c>
    </row>
    <row r="68" spans="2:7" x14ac:dyDescent="0.2">
      <c r="B68" s="8">
        <v>81.7</v>
      </c>
      <c r="C68" s="8">
        <v>74.8</v>
      </c>
      <c r="D68" s="8">
        <v>248</v>
      </c>
      <c r="E68" s="51">
        <v>317</v>
      </c>
      <c r="F68" s="52">
        <v>168000</v>
      </c>
      <c r="G68" s="51">
        <f t="shared" si="0"/>
        <v>69</v>
      </c>
    </row>
    <row r="69" spans="2:7" x14ac:dyDescent="0.2">
      <c r="B69" s="8">
        <v>76.099999999999994</v>
      </c>
      <c r="C69" s="8">
        <v>78.5</v>
      </c>
      <c r="D69" s="8">
        <v>198</v>
      </c>
      <c r="E69" s="51">
        <v>250</v>
      </c>
      <c r="F69" s="52">
        <v>96000</v>
      </c>
      <c r="G69" s="51">
        <f t="shared" si="0"/>
        <v>52</v>
      </c>
    </row>
    <row r="70" spans="2:7" x14ac:dyDescent="0.2">
      <c r="B70" s="8">
        <v>65.400000000000006</v>
      </c>
      <c r="C70" s="8">
        <v>71.8</v>
      </c>
      <c r="D70" s="8">
        <v>210</v>
      </c>
      <c r="E70" s="51">
        <v>217</v>
      </c>
      <c r="F70" s="52"/>
      <c r="G70" s="51">
        <f t="shared" si="0"/>
        <v>7</v>
      </c>
    </row>
    <row r="71" spans="2:7" x14ac:dyDescent="0.2">
      <c r="B71" s="8">
        <v>70.099999999999994</v>
      </c>
      <c r="C71" s="8">
        <v>69.900000000000006</v>
      </c>
      <c r="D71" s="8">
        <v>107</v>
      </c>
      <c r="E71" s="51">
        <v>138</v>
      </c>
      <c r="F71" s="52"/>
      <c r="G71" s="51">
        <f t="shared" ref="G71:G100" si="1">E71-D71</f>
        <v>31</v>
      </c>
    </row>
    <row r="72" spans="2:7" x14ac:dyDescent="0.2">
      <c r="B72" s="8">
        <v>75.3</v>
      </c>
      <c r="C72" s="8">
        <v>82.7</v>
      </c>
      <c r="D72" s="8">
        <v>239</v>
      </c>
      <c r="E72" s="51">
        <v>302</v>
      </c>
      <c r="F72" s="52">
        <v>80000</v>
      </c>
      <c r="G72" s="51">
        <f t="shared" si="1"/>
        <v>63</v>
      </c>
    </row>
    <row r="73" spans="2:7" x14ac:dyDescent="0.2">
      <c r="B73" s="8">
        <v>68.7</v>
      </c>
      <c r="C73" s="8">
        <v>74</v>
      </c>
      <c r="D73" s="8">
        <v>287</v>
      </c>
      <c r="E73" s="51">
        <v>311</v>
      </c>
      <c r="F73" s="52"/>
      <c r="G73" s="51">
        <f t="shared" si="1"/>
        <v>24</v>
      </c>
    </row>
    <row r="74" spans="2:7" x14ac:dyDescent="0.2">
      <c r="B74" s="8">
        <v>75.7</v>
      </c>
      <c r="C74" s="8">
        <v>84</v>
      </c>
      <c r="D74" s="8">
        <v>340</v>
      </c>
      <c r="E74" s="51">
        <v>373</v>
      </c>
      <c r="F74" s="52">
        <v>124500</v>
      </c>
      <c r="G74" s="51">
        <f t="shared" si="1"/>
        <v>33</v>
      </c>
    </row>
    <row r="75" spans="2:7" x14ac:dyDescent="0.2">
      <c r="B75" s="8">
        <v>68.7</v>
      </c>
      <c r="C75" s="8">
        <v>84.7</v>
      </c>
      <c r="D75" s="8">
        <v>155</v>
      </c>
      <c r="E75" s="51">
        <v>196</v>
      </c>
      <c r="F75" s="52"/>
      <c r="G75" s="51">
        <f t="shared" si="1"/>
        <v>41</v>
      </c>
    </row>
    <row r="76" spans="2:7" x14ac:dyDescent="0.2">
      <c r="B76" s="8">
        <v>70.400000000000006</v>
      </c>
      <c r="C76" s="8">
        <v>78.2</v>
      </c>
      <c r="D76" s="8">
        <v>263</v>
      </c>
      <c r="E76" s="51">
        <v>306</v>
      </c>
      <c r="F76" s="52">
        <v>99000</v>
      </c>
      <c r="G76" s="51">
        <f t="shared" si="1"/>
        <v>43</v>
      </c>
    </row>
    <row r="77" spans="2:7" x14ac:dyDescent="0.2">
      <c r="B77" s="8">
        <v>68.3</v>
      </c>
      <c r="C77" s="8">
        <v>85</v>
      </c>
      <c r="D77" s="8">
        <v>265</v>
      </c>
      <c r="E77" s="51">
        <v>302</v>
      </c>
      <c r="F77" s="52"/>
      <c r="G77" s="51">
        <f t="shared" si="1"/>
        <v>37</v>
      </c>
    </row>
    <row r="78" spans="2:7" x14ac:dyDescent="0.2">
      <c r="B78" s="8">
        <v>71.7</v>
      </c>
      <c r="C78" s="8">
        <v>80.099999999999994</v>
      </c>
      <c r="D78" s="8">
        <v>249</v>
      </c>
      <c r="E78" s="51">
        <v>278</v>
      </c>
      <c r="F78" s="52"/>
      <c r="G78" s="51">
        <f t="shared" si="1"/>
        <v>29</v>
      </c>
    </row>
    <row r="79" spans="2:7" x14ac:dyDescent="0.2">
      <c r="B79" s="8">
        <v>70.900000000000006</v>
      </c>
      <c r="C79" s="8">
        <v>85.3</v>
      </c>
      <c r="D79" s="8">
        <v>377</v>
      </c>
      <c r="E79" s="51">
        <v>429</v>
      </c>
      <c r="F79" s="52"/>
      <c r="G79" s="51">
        <f t="shared" si="1"/>
        <v>52</v>
      </c>
    </row>
    <row r="80" spans="2:7" x14ac:dyDescent="0.2">
      <c r="B80" s="8">
        <v>66.3</v>
      </c>
      <c r="C80" s="8">
        <v>79.7</v>
      </c>
      <c r="D80" s="8">
        <v>301</v>
      </c>
      <c r="E80" s="51">
        <v>338</v>
      </c>
      <c r="F80" s="52">
        <v>124000</v>
      </c>
      <c r="G80" s="51">
        <f t="shared" si="1"/>
        <v>37</v>
      </c>
    </row>
    <row r="81" spans="2:7" x14ac:dyDescent="0.2">
      <c r="B81" s="8">
        <v>65.3</v>
      </c>
      <c r="C81" s="8">
        <v>79.599999999999994</v>
      </c>
      <c r="D81" s="8">
        <v>242</v>
      </c>
      <c r="E81" s="51">
        <v>261</v>
      </c>
      <c r="F81" s="52"/>
      <c r="G81" s="51">
        <f t="shared" si="1"/>
        <v>19</v>
      </c>
    </row>
    <row r="82" spans="2:7" x14ac:dyDescent="0.2">
      <c r="B82" s="8">
        <v>75.7</v>
      </c>
      <c r="C82" s="8">
        <v>78.900000000000006</v>
      </c>
      <c r="D82" s="8">
        <v>211</v>
      </c>
      <c r="E82" s="51">
        <v>256</v>
      </c>
      <c r="F82" s="52"/>
      <c r="G82" s="51">
        <f t="shared" si="1"/>
        <v>45</v>
      </c>
    </row>
    <row r="83" spans="2:7" x14ac:dyDescent="0.2">
      <c r="B83" s="8">
        <v>66</v>
      </c>
      <c r="C83" s="8">
        <v>78.5</v>
      </c>
      <c r="D83" s="8">
        <v>160</v>
      </c>
      <c r="E83" s="51">
        <v>183</v>
      </c>
      <c r="F83" s="52">
        <v>91500</v>
      </c>
      <c r="G83" s="51">
        <f t="shared" si="1"/>
        <v>23</v>
      </c>
    </row>
    <row r="84" spans="2:7" x14ac:dyDescent="0.2">
      <c r="B84" s="8">
        <v>78.900000000000006</v>
      </c>
      <c r="C84" s="8">
        <v>72</v>
      </c>
      <c r="D84" s="8">
        <v>218</v>
      </c>
      <c r="E84" s="51">
        <v>274</v>
      </c>
      <c r="F84" s="52">
        <v>144500</v>
      </c>
      <c r="G84" s="51">
        <f t="shared" si="1"/>
        <v>56</v>
      </c>
    </row>
    <row r="85" spans="2:7" x14ac:dyDescent="0.2">
      <c r="B85" s="8">
        <v>74</v>
      </c>
      <c r="C85" s="8">
        <v>74.2</v>
      </c>
      <c r="D85" s="8">
        <v>133</v>
      </c>
      <c r="E85" s="51">
        <v>182</v>
      </c>
      <c r="F85" s="52"/>
      <c r="G85" s="51">
        <f t="shared" si="1"/>
        <v>49</v>
      </c>
    </row>
    <row r="86" spans="2:7" x14ac:dyDescent="0.2">
      <c r="B86" s="8">
        <v>74.599999999999994</v>
      </c>
      <c r="C86" s="8">
        <v>71.7</v>
      </c>
      <c r="D86" s="8">
        <v>122</v>
      </c>
      <c r="E86" s="51">
        <v>183</v>
      </c>
      <c r="F86" s="52"/>
      <c r="G86" s="51">
        <f t="shared" si="1"/>
        <v>61</v>
      </c>
    </row>
    <row r="87" spans="2:7" x14ac:dyDescent="0.2">
      <c r="B87" s="8">
        <v>79.3</v>
      </c>
      <c r="C87" s="8">
        <v>80.7</v>
      </c>
      <c r="D87" s="8">
        <v>236</v>
      </c>
      <c r="E87" s="51">
        <v>309</v>
      </c>
      <c r="F87" s="52">
        <v>114500</v>
      </c>
      <c r="G87" s="51">
        <f t="shared" si="1"/>
        <v>73</v>
      </c>
    </row>
    <row r="88" spans="2:7" x14ac:dyDescent="0.2">
      <c r="B88" s="8">
        <v>70.099999999999994</v>
      </c>
      <c r="C88" s="8">
        <v>84.1</v>
      </c>
      <c r="D88" s="8">
        <v>143</v>
      </c>
      <c r="E88" s="51">
        <v>178</v>
      </c>
      <c r="F88" s="52"/>
      <c r="G88" s="51">
        <f t="shared" si="1"/>
        <v>35</v>
      </c>
    </row>
    <row r="89" spans="2:7" x14ac:dyDescent="0.2">
      <c r="B89" s="8">
        <v>88.8</v>
      </c>
      <c r="C89" s="8">
        <v>87.4</v>
      </c>
      <c r="D89" s="8">
        <v>354</v>
      </c>
      <c r="E89" s="51">
        <v>458</v>
      </c>
      <c r="F89" s="52">
        <v>104500</v>
      </c>
      <c r="G89" s="51">
        <f t="shared" si="1"/>
        <v>104</v>
      </c>
    </row>
    <row r="90" spans="2:7" x14ac:dyDescent="0.2">
      <c r="B90" s="8">
        <v>66</v>
      </c>
      <c r="C90" s="8">
        <v>77.400000000000006</v>
      </c>
      <c r="D90" s="8">
        <v>214</v>
      </c>
      <c r="E90" s="51">
        <v>234</v>
      </c>
      <c r="F90" s="52">
        <v>124000</v>
      </c>
      <c r="G90" s="51">
        <f t="shared" si="1"/>
        <v>20</v>
      </c>
    </row>
    <row r="91" spans="2:7" x14ac:dyDescent="0.2">
      <c r="B91" s="8">
        <v>82.9</v>
      </c>
      <c r="C91" s="8">
        <v>84.7</v>
      </c>
      <c r="D91" s="8">
        <v>225</v>
      </c>
      <c r="E91" s="51">
        <v>306</v>
      </c>
      <c r="F91" s="52">
        <v>113000</v>
      </c>
      <c r="G91" s="51">
        <f t="shared" si="1"/>
        <v>81</v>
      </c>
    </row>
    <row r="92" spans="2:7" x14ac:dyDescent="0.2">
      <c r="B92" s="8">
        <v>100</v>
      </c>
      <c r="C92" s="8">
        <v>78.8</v>
      </c>
      <c r="D92" s="8">
        <v>261</v>
      </c>
      <c r="E92" s="51">
        <v>400</v>
      </c>
      <c r="F92" s="52">
        <v>78000</v>
      </c>
      <c r="G92" s="51">
        <f t="shared" si="1"/>
        <v>139</v>
      </c>
    </row>
    <row r="93" spans="2:7" x14ac:dyDescent="0.2">
      <c r="B93" s="8">
        <v>75.599999999999994</v>
      </c>
      <c r="C93" s="8">
        <v>92.7</v>
      </c>
      <c r="D93" s="8">
        <v>277</v>
      </c>
      <c r="E93" s="51">
        <v>337</v>
      </c>
      <c r="F93" s="52"/>
      <c r="G93" s="51">
        <f t="shared" si="1"/>
        <v>60</v>
      </c>
    </row>
    <row r="94" spans="2:7" x14ac:dyDescent="0.2">
      <c r="B94" s="8">
        <v>67.5</v>
      </c>
      <c r="C94" s="8">
        <v>88.8</v>
      </c>
      <c r="D94" s="8">
        <v>282</v>
      </c>
      <c r="E94" s="51">
        <v>325</v>
      </c>
      <c r="F94" s="52">
        <v>109000</v>
      </c>
      <c r="G94" s="51">
        <f t="shared" si="1"/>
        <v>43</v>
      </c>
    </row>
    <row r="95" spans="2:7" x14ac:dyDescent="0.2">
      <c r="B95" s="8">
        <v>68.7</v>
      </c>
      <c r="C95" s="8">
        <v>86.6</v>
      </c>
      <c r="D95" s="8">
        <v>322</v>
      </c>
      <c r="E95" s="51">
        <v>329</v>
      </c>
      <c r="F95" s="52"/>
      <c r="G95" s="51">
        <f t="shared" si="1"/>
        <v>7</v>
      </c>
    </row>
    <row r="96" spans="2:7" x14ac:dyDescent="0.2">
      <c r="B96" s="8">
        <v>76</v>
      </c>
      <c r="C96" s="8">
        <v>77.900000000000006</v>
      </c>
      <c r="D96" s="8">
        <v>326</v>
      </c>
      <c r="E96" s="51">
        <v>369</v>
      </c>
      <c r="F96" s="52">
        <v>99500</v>
      </c>
      <c r="G96" s="51">
        <f t="shared" si="1"/>
        <v>43</v>
      </c>
    </row>
    <row r="97" spans="2:7" x14ac:dyDescent="0.2">
      <c r="B97" s="8">
        <v>67.7</v>
      </c>
      <c r="C97" s="8">
        <v>86.1</v>
      </c>
      <c r="D97" s="8">
        <v>421</v>
      </c>
      <c r="E97" s="51">
        <v>457</v>
      </c>
      <c r="F97" s="52">
        <v>107000</v>
      </c>
      <c r="G97" s="51">
        <f t="shared" si="1"/>
        <v>36</v>
      </c>
    </row>
    <row r="98" spans="2:7" x14ac:dyDescent="0.2">
      <c r="B98" s="8">
        <v>75.3</v>
      </c>
      <c r="C98" s="8">
        <v>89.9</v>
      </c>
      <c r="D98" s="8">
        <v>368</v>
      </c>
      <c r="E98" s="51">
        <v>421</v>
      </c>
      <c r="F98" s="52"/>
      <c r="G98" s="51">
        <f t="shared" si="1"/>
        <v>53</v>
      </c>
    </row>
    <row r="99" spans="2:7" x14ac:dyDescent="0.2">
      <c r="B99" s="8">
        <v>68.099999999999994</v>
      </c>
      <c r="C99" s="8">
        <v>83.1</v>
      </c>
      <c r="D99" s="8">
        <v>279</v>
      </c>
      <c r="E99" s="51">
        <v>282</v>
      </c>
      <c r="F99" s="52">
        <v>84000</v>
      </c>
      <c r="G99" s="51">
        <f t="shared" si="1"/>
        <v>3</v>
      </c>
    </row>
    <row r="100" spans="2:7" x14ac:dyDescent="0.2">
      <c r="B100" s="8">
        <v>63.3</v>
      </c>
      <c r="C100" s="8">
        <v>82.6</v>
      </c>
      <c r="D100" s="8">
        <v>268</v>
      </c>
      <c r="E100" s="51">
        <v>256</v>
      </c>
      <c r="F100" s="52"/>
      <c r="G100" s="51">
        <f t="shared" si="1"/>
        <v>-12</v>
      </c>
    </row>
  </sheetData>
  <mergeCells count="3">
    <mergeCell ref="P5:Q5"/>
    <mergeCell ref="S5:T5"/>
    <mergeCell ref="I5:K5"/>
  </mergeCells>
  <pageMargins left="0.7" right="0.7" top="0.75" bottom="0.75" header="0.3" footer="0.3"/>
  <pageSetup orientation="portrait" r:id="rId1"/>
  <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A6A0D-2478-45C6-818E-4190B6779D37}">
  <sheetPr codeName="Sheet54">
    <tabColor rgb="FFEFE5F7"/>
  </sheetPr>
  <dimension ref="B1:O100"/>
  <sheetViews>
    <sheetView showGridLines="0" workbookViewId="0">
      <selection activeCell="P6" sqref="P6"/>
    </sheetView>
  </sheetViews>
  <sheetFormatPr baseColWidth="10" defaultColWidth="8.83203125" defaultRowHeight="15" x14ac:dyDescent="0.2"/>
  <cols>
    <col min="1" max="1" width="2.83203125" customWidth="1"/>
    <col min="2" max="2" width="20.6640625" bestFit="1" customWidth="1"/>
    <col min="3" max="3" width="19.33203125" bestFit="1" customWidth="1"/>
    <col min="5" max="5" width="14.33203125" customWidth="1"/>
    <col min="6" max="6" width="9.1640625" customWidth="1"/>
    <col min="8" max="8" width="11.5" customWidth="1"/>
    <col min="14" max="15" width="11.5" customWidth="1"/>
  </cols>
  <sheetData>
    <row r="1" spans="2:15" ht="25.5" customHeight="1" x14ac:dyDescent="0.25">
      <c r="B1" s="18" t="s">
        <v>263</v>
      </c>
    </row>
    <row r="2" spans="2:15" ht="15" customHeight="1" x14ac:dyDescent="0.2">
      <c r="B2" s="30" t="s">
        <v>257</v>
      </c>
    </row>
    <row r="3" spans="2:15" ht="18" customHeight="1" x14ac:dyDescent="0.2"/>
    <row r="4" spans="2:15" x14ac:dyDescent="0.2">
      <c r="E4" s="3" t="s">
        <v>54</v>
      </c>
    </row>
    <row r="5" spans="2:15" x14ac:dyDescent="0.2">
      <c r="B5" s="43" t="s">
        <v>22</v>
      </c>
      <c r="C5" s="43" t="s">
        <v>23</v>
      </c>
      <c r="E5" s="115" t="s">
        <v>229</v>
      </c>
      <c r="F5" s="115"/>
      <c r="H5" s="115" t="s">
        <v>242</v>
      </c>
      <c r="I5" s="115"/>
      <c r="K5" s="115" t="s">
        <v>241</v>
      </c>
      <c r="L5" s="115"/>
      <c r="N5" s="115" t="s">
        <v>248</v>
      </c>
      <c r="O5" s="115"/>
    </row>
    <row r="6" spans="2:15" x14ac:dyDescent="0.2">
      <c r="B6" s="51">
        <v>252</v>
      </c>
      <c r="C6" s="51">
        <v>276</v>
      </c>
      <c r="E6" s="20" t="s">
        <v>230</v>
      </c>
      <c r="F6" s="87">
        <f>PEARSON(B6:B100,C6:C100)</f>
        <v>0.94886589689776391</v>
      </c>
      <c r="H6" s="20" t="s">
        <v>239</v>
      </c>
      <c r="I6" s="75">
        <f>INTERCEPT(C6:C100,B6:B100)</f>
        <v>41.63016671209175</v>
      </c>
      <c r="K6" s="20" t="s">
        <v>235</v>
      </c>
      <c r="L6" s="71">
        <v>250</v>
      </c>
      <c r="N6" s="58" t="s">
        <v>249</v>
      </c>
      <c r="O6" s="97" cm="1">
        <f t="array" ref="O6">SUMSQ(C6:C100-_xlfn.FORECAST.LINEAR(B6:B100,C6:C100,B6:B100))</f>
        <v>81929.289620086478</v>
      </c>
    </row>
    <row r="7" spans="2:15" x14ac:dyDescent="0.2">
      <c r="B7" s="8">
        <v>423</v>
      </c>
      <c r="C7" s="8">
        <v>410</v>
      </c>
      <c r="H7" s="20" t="s">
        <v>240</v>
      </c>
      <c r="I7" s="87">
        <f>SLOPE(C6:C100,B6:B100)</f>
        <v>1.0325625976197308</v>
      </c>
      <c r="K7" s="20" t="s">
        <v>236</v>
      </c>
      <c r="L7" s="72">
        <f>_xlfn.FORECAST.LINEAR(L6,C6:C100,B6:B100)</f>
        <v>299.77081611702442</v>
      </c>
      <c r="N7" s="58" t="s">
        <v>250</v>
      </c>
      <c r="O7" s="97" cm="1">
        <f t="array" ref="O7">SUMSQ(C6:C100-AVERAGE(C6:C100))</f>
        <v>822141.53684210498</v>
      </c>
    </row>
    <row r="8" spans="2:15" x14ac:dyDescent="0.2">
      <c r="B8" s="8">
        <v>101</v>
      </c>
      <c r="C8" s="8">
        <v>119</v>
      </c>
      <c r="N8" s="20" t="s">
        <v>251</v>
      </c>
      <c r="O8" s="87">
        <f>1-O6/O7</f>
        <v>0.90034649029559821</v>
      </c>
    </row>
    <row r="9" spans="2:15" x14ac:dyDescent="0.2">
      <c r="B9" s="8">
        <v>288</v>
      </c>
      <c r="C9" s="8">
        <v>334</v>
      </c>
    </row>
    <row r="10" spans="2:15" x14ac:dyDescent="0.2">
      <c r="B10" s="8">
        <v>248</v>
      </c>
      <c r="C10" s="8">
        <v>252</v>
      </c>
    </row>
    <row r="11" spans="2:15" x14ac:dyDescent="0.2">
      <c r="B11" s="8">
        <v>145</v>
      </c>
      <c r="C11" s="8">
        <v>209</v>
      </c>
    </row>
    <row r="12" spans="2:15" x14ac:dyDescent="0.2">
      <c r="B12" s="8">
        <v>401</v>
      </c>
      <c r="C12" s="8">
        <v>462</v>
      </c>
    </row>
    <row r="13" spans="2:15" x14ac:dyDescent="0.2">
      <c r="B13" s="8">
        <v>287</v>
      </c>
      <c r="C13" s="8">
        <v>342</v>
      </c>
    </row>
    <row r="14" spans="2:15" x14ac:dyDescent="0.2">
      <c r="B14" s="8">
        <v>275</v>
      </c>
      <c r="C14" s="8">
        <v>347</v>
      </c>
    </row>
    <row r="15" spans="2:15" x14ac:dyDescent="0.2">
      <c r="B15" s="8">
        <v>254</v>
      </c>
      <c r="C15" s="8">
        <v>313</v>
      </c>
    </row>
    <row r="16" spans="2:15" x14ac:dyDescent="0.2">
      <c r="B16" s="8">
        <v>182</v>
      </c>
      <c r="C16" s="8">
        <v>232</v>
      </c>
    </row>
    <row r="17" spans="2:3" x14ac:dyDescent="0.2">
      <c r="B17" s="8">
        <v>117</v>
      </c>
      <c r="C17" s="8">
        <v>163</v>
      </c>
    </row>
    <row r="18" spans="2:3" x14ac:dyDescent="0.2">
      <c r="B18" s="8">
        <v>130</v>
      </c>
      <c r="C18" s="8">
        <v>119</v>
      </c>
    </row>
    <row r="19" spans="2:3" x14ac:dyDescent="0.2">
      <c r="B19" s="8">
        <v>219</v>
      </c>
      <c r="C19" s="8">
        <v>304</v>
      </c>
    </row>
    <row r="20" spans="2:3" x14ac:dyDescent="0.2">
      <c r="B20" s="8">
        <v>152</v>
      </c>
      <c r="C20" s="8">
        <v>211</v>
      </c>
    </row>
    <row r="21" spans="2:3" x14ac:dyDescent="0.2">
      <c r="B21" s="8">
        <v>228</v>
      </c>
      <c r="C21" s="8">
        <v>286</v>
      </c>
    </row>
    <row r="22" spans="2:3" x14ac:dyDescent="0.2">
      <c r="B22" s="8">
        <v>62</v>
      </c>
      <c r="C22" s="8">
        <v>122</v>
      </c>
    </row>
    <row r="23" spans="2:3" x14ac:dyDescent="0.2">
      <c r="B23" s="8">
        <v>393</v>
      </c>
      <c r="C23" s="8">
        <v>443</v>
      </c>
    </row>
    <row r="24" spans="2:3" x14ac:dyDescent="0.2">
      <c r="B24" s="8">
        <v>277</v>
      </c>
      <c r="C24" s="8">
        <v>366</v>
      </c>
    </row>
    <row r="25" spans="2:3" x14ac:dyDescent="0.2">
      <c r="B25" s="8">
        <v>206</v>
      </c>
      <c r="C25" s="8">
        <v>244</v>
      </c>
    </row>
    <row r="26" spans="2:3" x14ac:dyDescent="0.2">
      <c r="B26" s="8">
        <v>229</v>
      </c>
      <c r="C26" s="8">
        <v>241</v>
      </c>
    </row>
    <row r="27" spans="2:3" x14ac:dyDescent="0.2">
      <c r="B27" s="8">
        <v>182</v>
      </c>
      <c r="C27" s="8">
        <v>237</v>
      </c>
    </row>
    <row r="28" spans="2:3" x14ac:dyDescent="0.2">
      <c r="B28" s="8">
        <v>98</v>
      </c>
      <c r="C28" s="8">
        <v>122</v>
      </c>
    </row>
    <row r="29" spans="2:3" x14ac:dyDescent="0.2">
      <c r="B29" s="8">
        <v>125</v>
      </c>
      <c r="C29" s="8">
        <v>129</v>
      </c>
    </row>
    <row r="30" spans="2:3" x14ac:dyDescent="0.2">
      <c r="B30" s="8">
        <v>164</v>
      </c>
      <c r="C30" s="8">
        <v>236</v>
      </c>
    </row>
    <row r="31" spans="2:3" x14ac:dyDescent="0.2">
      <c r="B31" s="8">
        <v>186</v>
      </c>
      <c r="C31" s="8">
        <v>251</v>
      </c>
    </row>
    <row r="32" spans="2:3" x14ac:dyDescent="0.2">
      <c r="B32" s="8">
        <v>235</v>
      </c>
      <c r="C32" s="8">
        <v>283</v>
      </c>
    </row>
    <row r="33" spans="2:3" x14ac:dyDescent="0.2">
      <c r="B33" s="8">
        <v>184</v>
      </c>
      <c r="C33" s="8">
        <v>225</v>
      </c>
    </row>
    <row r="34" spans="2:3" x14ac:dyDescent="0.2">
      <c r="B34" s="8">
        <v>76</v>
      </c>
      <c r="C34" s="8">
        <v>102</v>
      </c>
    </row>
    <row r="35" spans="2:3" x14ac:dyDescent="0.2">
      <c r="B35" s="8">
        <v>126</v>
      </c>
      <c r="C35" s="8">
        <v>180</v>
      </c>
    </row>
    <row r="36" spans="2:3" x14ac:dyDescent="0.2">
      <c r="B36" s="8">
        <v>183</v>
      </c>
      <c r="C36" s="8">
        <v>247</v>
      </c>
    </row>
    <row r="37" spans="2:3" x14ac:dyDescent="0.2">
      <c r="B37" s="8">
        <v>242</v>
      </c>
      <c r="C37" s="8">
        <v>343</v>
      </c>
    </row>
    <row r="38" spans="2:3" x14ac:dyDescent="0.2">
      <c r="B38" s="8">
        <v>207</v>
      </c>
      <c r="C38" s="8">
        <v>283</v>
      </c>
    </row>
    <row r="39" spans="2:3" x14ac:dyDescent="0.2">
      <c r="B39" s="8">
        <v>181</v>
      </c>
      <c r="C39" s="8">
        <v>253</v>
      </c>
    </row>
    <row r="40" spans="2:3" x14ac:dyDescent="0.2">
      <c r="B40" s="8">
        <v>239</v>
      </c>
      <c r="C40" s="8">
        <v>263</v>
      </c>
    </row>
    <row r="41" spans="2:3" x14ac:dyDescent="0.2">
      <c r="B41" s="8">
        <v>216</v>
      </c>
      <c r="C41" s="8">
        <v>291</v>
      </c>
    </row>
    <row r="42" spans="2:3" x14ac:dyDescent="0.2">
      <c r="B42" s="8">
        <v>289</v>
      </c>
      <c r="C42" s="8">
        <v>368</v>
      </c>
    </row>
    <row r="43" spans="2:3" x14ac:dyDescent="0.2">
      <c r="B43" s="8">
        <v>213</v>
      </c>
      <c r="C43" s="8">
        <v>206</v>
      </c>
    </row>
    <row r="44" spans="2:3" x14ac:dyDescent="0.2">
      <c r="B44" s="8">
        <v>209</v>
      </c>
      <c r="C44" s="8">
        <v>231</v>
      </c>
    </row>
    <row r="45" spans="2:3" x14ac:dyDescent="0.2">
      <c r="B45" s="8">
        <v>376</v>
      </c>
      <c r="C45" s="8">
        <v>389</v>
      </c>
    </row>
    <row r="46" spans="2:3" x14ac:dyDescent="0.2">
      <c r="B46" s="8">
        <v>332</v>
      </c>
      <c r="C46" s="8">
        <v>396</v>
      </c>
    </row>
    <row r="47" spans="2:3" x14ac:dyDescent="0.2">
      <c r="B47" s="8">
        <v>249</v>
      </c>
      <c r="C47" s="8">
        <v>339</v>
      </c>
    </row>
    <row r="48" spans="2:3" x14ac:dyDescent="0.2">
      <c r="B48" s="8">
        <v>228</v>
      </c>
      <c r="C48" s="8">
        <v>286</v>
      </c>
    </row>
    <row r="49" spans="2:3" x14ac:dyDescent="0.2">
      <c r="B49" s="8">
        <v>124</v>
      </c>
      <c r="C49" s="8">
        <v>146</v>
      </c>
    </row>
    <row r="50" spans="2:3" x14ac:dyDescent="0.2">
      <c r="B50" s="8">
        <v>194</v>
      </c>
      <c r="C50" s="8">
        <v>315</v>
      </c>
    </row>
    <row r="51" spans="2:3" x14ac:dyDescent="0.2">
      <c r="B51" s="8">
        <v>157</v>
      </c>
      <c r="C51" s="8">
        <v>183</v>
      </c>
    </row>
    <row r="52" spans="2:3" x14ac:dyDescent="0.2">
      <c r="B52" s="8">
        <v>402</v>
      </c>
      <c r="C52" s="8">
        <v>481</v>
      </c>
    </row>
    <row r="53" spans="2:3" x14ac:dyDescent="0.2">
      <c r="B53" s="8">
        <v>323</v>
      </c>
      <c r="C53" s="8">
        <v>349</v>
      </c>
    </row>
    <row r="54" spans="2:3" x14ac:dyDescent="0.2">
      <c r="B54" s="8">
        <v>181</v>
      </c>
      <c r="C54" s="8">
        <v>225</v>
      </c>
    </row>
    <row r="55" spans="2:3" x14ac:dyDescent="0.2">
      <c r="B55" s="8">
        <v>157</v>
      </c>
      <c r="C55" s="8">
        <v>217</v>
      </c>
    </row>
    <row r="56" spans="2:3" x14ac:dyDescent="0.2">
      <c r="B56" s="8">
        <v>266</v>
      </c>
      <c r="C56" s="8">
        <v>353</v>
      </c>
    </row>
    <row r="57" spans="2:3" x14ac:dyDescent="0.2">
      <c r="B57" s="8">
        <v>268</v>
      </c>
      <c r="C57" s="8">
        <v>314</v>
      </c>
    </row>
    <row r="58" spans="2:3" x14ac:dyDescent="0.2">
      <c r="B58" s="8">
        <v>167</v>
      </c>
      <c r="C58" s="8">
        <v>247</v>
      </c>
    </row>
    <row r="59" spans="2:3" x14ac:dyDescent="0.2">
      <c r="B59" s="8">
        <v>342</v>
      </c>
      <c r="C59" s="8">
        <v>410</v>
      </c>
    </row>
    <row r="60" spans="2:3" x14ac:dyDescent="0.2">
      <c r="B60" s="8">
        <v>349</v>
      </c>
      <c r="C60" s="8">
        <v>395</v>
      </c>
    </row>
    <row r="61" spans="2:3" x14ac:dyDescent="0.2">
      <c r="B61" s="8">
        <v>340</v>
      </c>
      <c r="C61" s="8">
        <v>416</v>
      </c>
    </row>
    <row r="62" spans="2:3" x14ac:dyDescent="0.2">
      <c r="B62" s="8">
        <v>227</v>
      </c>
      <c r="C62" s="8">
        <v>342</v>
      </c>
    </row>
    <row r="63" spans="2:3" x14ac:dyDescent="0.2">
      <c r="B63" s="8">
        <v>409</v>
      </c>
      <c r="C63" s="8">
        <v>446</v>
      </c>
    </row>
    <row r="64" spans="2:3" x14ac:dyDescent="0.2">
      <c r="B64" s="8">
        <v>400</v>
      </c>
      <c r="C64" s="8">
        <v>477</v>
      </c>
    </row>
    <row r="65" spans="2:3" x14ac:dyDescent="0.2">
      <c r="B65" s="8">
        <v>374</v>
      </c>
      <c r="C65" s="8">
        <v>444</v>
      </c>
    </row>
    <row r="66" spans="2:3" x14ac:dyDescent="0.2">
      <c r="B66" s="8">
        <v>255</v>
      </c>
      <c r="C66" s="8">
        <v>351</v>
      </c>
    </row>
    <row r="67" spans="2:3" x14ac:dyDescent="0.2">
      <c r="B67" s="8">
        <v>146</v>
      </c>
      <c r="C67" s="8">
        <v>165</v>
      </c>
    </row>
    <row r="68" spans="2:3" x14ac:dyDescent="0.2">
      <c r="B68" s="8">
        <v>248</v>
      </c>
      <c r="C68" s="8">
        <v>317</v>
      </c>
    </row>
    <row r="69" spans="2:3" x14ac:dyDescent="0.2">
      <c r="B69" s="8">
        <v>198</v>
      </c>
      <c r="C69" s="8">
        <v>250</v>
      </c>
    </row>
    <row r="70" spans="2:3" x14ac:dyDescent="0.2">
      <c r="B70" s="8">
        <v>210</v>
      </c>
      <c r="C70" s="8">
        <v>217</v>
      </c>
    </row>
    <row r="71" spans="2:3" x14ac:dyDescent="0.2">
      <c r="B71" s="8">
        <v>107</v>
      </c>
      <c r="C71" s="8">
        <v>138</v>
      </c>
    </row>
    <row r="72" spans="2:3" x14ac:dyDescent="0.2">
      <c r="B72" s="8">
        <v>239</v>
      </c>
      <c r="C72" s="8">
        <v>302</v>
      </c>
    </row>
    <row r="73" spans="2:3" x14ac:dyDescent="0.2">
      <c r="B73" s="8">
        <v>287</v>
      </c>
      <c r="C73" s="8">
        <v>311</v>
      </c>
    </row>
    <row r="74" spans="2:3" x14ac:dyDescent="0.2">
      <c r="B74" s="8">
        <v>340</v>
      </c>
      <c r="C74" s="8">
        <v>373</v>
      </c>
    </row>
    <row r="75" spans="2:3" x14ac:dyDescent="0.2">
      <c r="B75" s="8">
        <v>155</v>
      </c>
      <c r="C75" s="8">
        <v>196</v>
      </c>
    </row>
    <row r="76" spans="2:3" x14ac:dyDescent="0.2">
      <c r="B76" s="8">
        <v>263</v>
      </c>
      <c r="C76" s="8">
        <v>306</v>
      </c>
    </row>
    <row r="77" spans="2:3" x14ac:dyDescent="0.2">
      <c r="B77" s="8">
        <v>265</v>
      </c>
      <c r="C77" s="8">
        <v>302</v>
      </c>
    </row>
    <row r="78" spans="2:3" x14ac:dyDescent="0.2">
      <c r="B78" s="8">
        <v>249</v>
      </c>
      <c r="C78" s="8">
        <v>278</v>
      </c>
    </row>
    <row r="79" spans="2:3" x14ac:dyDescent="0.2">
      <c r="B79" s="8">
        <v>377</v>
      </c>
      <c r="C79" s="8">
        <v>429</v>
      </c>
    </row>
    <row r="80" spans="2:3" x14ac:dyDescent="0.2">
      <c r="B80" s="8">
        <v>301</v>
      </c>
      <c r="C80" s="8">
        <v>338</v>
      </c>
    </row>
    <row r="81" spans="2:3" x14ac:dyDescent="0.2">
      <c r="B81" s="8">
        <v>242</v>
      </c>
      <c r="C81" s="8">
        <v>261</v>
      </c>
    </row>
    <row r="82" spans="2:3" x14ac:dyDescent="0.2">
      <c r="B82" s="8">
        <v>211</v>
      </c>
      <c r="C82" s="8">
        <v>256</v>
      </c>
    </row>
    <row r="83" spans="2:3" x14ac:dyDescent="0.2">
      <c r="B83" s="8">
        <v>160</v>
      </c>
      <c r="C83" s="8">
        <v>183</v>
      </c>
    </row>
    <row r="84" spans="2:3" x14ac:dyDescent="0.2">
      <c r="B84" s="8">
        <v>218</v>
      </c>
      <c r="C84" s="8">
        <v>274</v>
      </c>
    </row>
    <row r="85" spans="2:3" x14ac:dyDescent="0.2">
      <c r="B85" s="8">
        <v>133</v>
      </c>
      <c r="C85" s="8">
        <v>182</v>
      </c>
    </row>
    <row r="86" spans="2:3" x14ac:dyDescent="0.2">
      <c r="B86" s="8">
        <v>122</v>
      </c>
      <c r="C86" s="8">
        <v>183</v>
      </c>
    </row>
    <row r="87" spans="2:3" x14ac:dyDescent="0.2">
      <c r="B87" s="8">
        <v>236</v>
      </c>
      <c r="C87" s="8">
        <v>309</v>
      </c>
    </row>
    <row r="88" spans="2:3" x14ac:dyDescent="0.2">
      <c r="B88" s="8">
        <v>143</v>
      </c>
      <c r="C88" s="8">
        <v>178</v>
      </c>
    </row>
    <row r="89" spans="2:3" x14ac:dyDescent="0.2">
      <c r="B89" s="8">
        <v>354</v>
      </c>
      <c r="C89" s="8">
        <v>458</v>
      </c>
    </row>
    <row r="90" spans="2:3" x14ac:dyDescent="0.2">
      <c r="B90" s="8">
        <v>214</v>
      </c>
      <c r="C90" s="8">
        <v>234</v>
      </c>
    </row>
    <row r="91" spans="2:3" x14ac:dyDescent="0.2">
      <c r="B91" s="8">
        <v>225</v>
      </c>
      <c r="C91" s="8">
        <v>306</v>
      </c>
    </row>
    <row r="92" spans="2:3" x14ac:dyDescent="0.2">
      <c r="B92" s="8">
        <v>261</v>
      </c>
      <c r="C92" s="8">
        <v>400</v>
      </c>
    </row>
    <row r="93" spans="2:3" x14ac:dyDescent="0.2">
      <c r="B93" s="8">
        <v>277</v>
      </c>
      <c r="C93" s="8">
        <v>337</v>
      </c>
    </row>
    <row r="94" spans="2:3" x14ac:dyDescent="0.2">
      <c r="B94" s="8">
        <v>282</v>
      </c>
      <c r="C94" s="8">
        <v>325</v>
      </c>
    </row>
    <row r="95" spans="2:3" x14ac:dyDescent="0.2">
      <c r="B95" s="8">
        <v>322</v>
      </c>
      <c r="C95" s="8">
        <v>329</v>
      </c>
    </row>
    <row r="96" spans="2:3" x14ac:dyDescent="0.2">
      <c r="B96" s="8">
        <v>326</v>
      </c>
      <c r="C96" s="8">
        <v>369</v>
      </c>
    </row>
    <row r="97" spans="2:3" x14ac:dyDescent="0.2">
      <c r="B97" s="8">
        <v>421</v>
      </c>
      <c r="C97" s="8">
        <v>457</v>
      </c>
    </row>
    <row r="98" spans="2:3" x14ac:dyDescent="0.2">
      <c r="B98" s="8">
        <v>368</v>
      </c>
      <c r="C98" s="8">
        <v>421</v>
      </c>
    </row>
    <row r="99" spans="2:3" x14ac:dyDescent="0.2">
      <c r="B99" s="8">
        <v>279</v>
      </c>
      <c r="C99" s="8">
        <v>282</v>
      </c>
    </row>
    <row r="100" spans="2:3" x14ac:dyDescent="0.2">
      <c r="B100" s="8">
        <v>268</v>
      </c>
      <c r="C100" s="8">
        <v>256</v>
      </c>
    </row>
  </sheetData>
  <mergeCells count="4">
    <mergeCell ref="E5:F5"/>
    <mergeCell ref="H5:I5"/>
    <mergeCell ref="K5:L5"/>
    <mergeCell ref="N5:O5"/>
  </mergeCells>
  <pageMargins left="0.7" right="0.7" top="0.75" bottom="0.75" header="0.3" footer="0.3"/>
  <pageSetup orientation="portrait" r:id="rId1"/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3A590-F644-408A-A506-5EF95CAB4896}">
  <sheetPr codeName="Sheet55">
    <tabColor rgb="FFEFE5F7"/>
  </sheetPr>
  <dimension ref="B1:O100"/>
  <sheetViews>
    <sheetView showGridLines="0" workbookViewId="0">
      <selection activeCell="P8" sqref="P8"/>
    </sheetView>
  </sheetViews>
  <sheetFormatPr baseColWidth="10" defaultColWidth="8.83203125" defaultRowHeight="15" x14ac:dyDescent="0.2"/>
  <cols>
    <col min="1" max="1" width="2.83203125" customWidth="1"/>
    <col min="2" max="2" width="20.6640625" bestFit="1" customWidth="1"/>
    <col min="3" max="3" width="19.33203125" bestFit="1" customWidth="1"/>
    <col min="5" max="5" width="14.33203125" customWidth="1"/>
    <col min="6" max="6" width="9.1640625" customWidth="1"/>
    <col min="8" max="8" width="11.5" customWidth="1"/>
    <col min="14" max="14" width="15.1640625" bestFit="1" customWidth="1"/>
    <col min="15" max="15" width="11.5" customWidth="1"/>
  </cols>
  <sheetData>
    <row r="1" spans="2:15" ht="25.5" customHeight="1" x14ac:dyDescent="0.25">
      <c r="B1" s="18" t="s">
        <v>264</v>
      </c>
    </row>
    <row r="2" spans="2:15" ht="15" customHeight="1" x14ac:dyDescent="0.2">
      <c r="B2" s="30" t="s">
        <v>258</v>
      </c>
    </row>
    <row r="3" spans="2:15" ht="18" customHeight="1" x14ac:dyDescent="0.2"/>
    <row r="4" spans="2:15" x14ac:dyDescent="0.2">
      <c r="E4" s="3" t="s">
        <v>54</v>
      </c>
    </row>
    <row r="5" spans="2:15" x14ac:dyDescent="0.2">
      <c r="B5" s="43" t="s">
        <v>22</v>
      </c>
      <c r="C5" s="43" t="s">
        <v>23</v>
      </c>
      <c r="E5" s="115" t="s">
        <v>229</v>
      </c>
      <c r="F5" s="115"/>
      <c r="H5" s="115" t="s">
        <v>242</v>
      </c>
      <c r="I5" s="115"/>
      <c r="K5" s="115" t="s">
        <v>241</v>
      </c>
      <c r="L5" s="115"/>
      <c r="N5" s="115" t="s">
        <v>248</v>
      </c>
      <c r="O5" s="115"/>
    </row>
    <row r="6" spans="2:15" x14ac:dyDescent="0.2">
      <c r="B6" s="51">
        <v>252</v>
      </c>
      <c r="C6" s="51">
        <v>276</v>
      </c>
      <c r="E6" s="20" t="s">
        <v>230</v>
      </c>
      <c r="F6" s="87">
        <f>PEARSON(B6:B100,C6:C100)</f>
        <v>0.94886589689776391</v>
      </c>
      <c r="H6" s="20" t="s">
        <v>239</v>
      </c>
      <c r="I6" s="75">
        <f>INTERCEPT(C6:C100,B6:B100)</f>
        <v>41.63016671209175</v>
      </c>
      <c r="K6" s="20" t="s">
        <v>235</v>
      </c>
      <c r="L6" s="71">
        <v>250</v>
      </c>
      <c r="N6" s="58" t="s">
        <v>249</v>
      </c>
      <c r="O6" s="97" cm="1">
        <f t="array" ref="O6">SUMSQ(C6:C100-_xlfn.FORECAST.LINEAR(B6:B100,C6:C100,B6:B100))</f>
        <v>81929.289620086478</v>
      </c>
    </row>
    <row r="7" spans="2:15" x14ac:dyDescent="0.2">
      <c r="B7" s="8">
        <v>423</v>
      </c>
      <c r="C7" s="8">
        <v>410</v>
      </c>
      <c r="H7" s="20" t="s">
        <v>240</v>
      </c>
      <c r="I7" s="87">
        <f>SLOPE(C6:C100,B6:B100)</f>
        <v>1.0325625976197308</v>
      </c>
      <c r="K7" s="20" t="s">
        <v>236</v>
      </c>
      <c r="L7" s="72">
        <f>_xlfn.FORECAST.LINEAR(L6,C6:C100,B6:B100)</f>
        <v>299.77081611702442</v>
      </c>
      <c r="N7" s="58" t="s">
        <v>250</v>
      </c>
      <c r="O7" s="97" cm="1">
        <f t="array" ref="O7">SUMSQ(C6:C100-AVERAGE(C6:C100))</f>
        <v>822141.5368421051</v>
      </c>
    </row>
    <row r="8" spans="2:15" x14ac:dyDescent="0.2">
      <c r="B8" s="8">
        <v>101</v>
      </c>
      <c r="C8" s="8">
        <v>119</v>
      </c>
      <c r="N8" s="20" t="s">
        <v>251</v>
      </c>
      <c r="O8" s="87">
        <f>RSQ(C6:C100,B6:B100)</f>
        <v>0.9003464902955981</v>
      </c>
    </row>
    <row r="9" spans="2:15" x14ac:dyDescent="0.2">
      <c r="B9" s="8">
        <v>288</v>
      </c>
      <c r="C9" s="8">
        <v>334</v>
      </c>
      <c r="N9" s="58" t="s">
        <v>254</v>
      </c>
      <c r="O9" s="97">
        <f>O6/(COUNTA(C6:C100)-1-1)</f>
        <v>880.96010344179012</v>
      </c>
    </row>
    <row r="10" spans="2:15" x14ac:dyDescent="0.2">
      <c r="B10" s="8">
        <v>248</v>
      </c>
      <c r="C10" s="8">
        <v>252</v>
      </c>
      <c r="N10" s="20" t="s">
        <v>146</v>
      </c>
      <c r="O10" s="75">
        <f>SQRT(O9)</f>
        <v>29.680972077103373</v>
      </c>
    </row>
    <row r="11" spans="2:15" x14ac:dyDescent="0.2">
      <c r="B11" s="8">
        <v>145</v>
      </c>
      <c r="C11" s="8">
        <v>209</v>
      </c>
    </row>
    <row r="12" spans="2:15" x14ac:dyDescent="0.2">
      <c r="B12" s="8">
        <v>401</v>
      </c>
      <c r="C12" s="8">
        <v>462</v>
      </c>
    </row>
    <row r="13" spans="2:15" x14ac:dyDescent="0.2">
      <c r="B13" s="8">
        <v>287</v>
      </c>
      <c r="C13" s="8">
        <v>342</v>
      </c>
    </row>
    <row r="14" spans="2:15" x14ac:dyDescent="0.2">
      <c r="B14" s="8">
        <v>275</v>
      </c>
      <c r="C14" s="8">
        <v>347</v>
      </c>
    </row>
    <row r="15" spans="2:15" x14ac:dyDescent="0.2">
      <c r="B15" s="8">
        <v>254</v>
      </c>
      <c r="C15" s="8">
        <v>313</v>
      </c>
    </row>
    <row r="16" spans="2:15" x14ac:dyDescent="0.2">
      <c r="B16" s="8">
        <v>182</v>
      </c>
      <c r="C16" s="8">
        <v>232</v>
      </c>
    </row>
    <row r="17" spans="2:3" x14ac:dyDescent="0.2">
      <c r="B17" s="8">
        <v>117</v>
      </c>
      <c r="C17" s="8">
        <v>163</v>
      </c>
    </row>
    <row r="18" spans="2:3" x14ac:dyDescent="0.2">
      <c r="B18" s="8">
        <v>130</v>
      </c>
      <c r="C18" s="8">
        <v>119</v>
      </c>
    </row>
    <row r="19" spans="2:3" x14ac:dyDescent="0.2">
      <c r="B19" s="8">
        <v>219</v>
      </c>
      <c r="C19" s="8">
        <v>304</v>
      </c>
    </row>
    <row r="20" spans="2:3" x14ac:dyDescent="0.2">
      <c r="B20" s="8">
        <v>152</v>
      </c>
      <c r="C20" s="8">
        <v>211</v>
      </c>
    </row>
    <row r="21" spans="2:3" x14ac:dyDescent="0.2">
      <c r="B21" s="8">
        <v>228</v>
      </c>
      <c r="C21" s="8">
        <v>286</v>
      </c>
    </row>
    <row r="22" spans="2:3" x14ac:dyDescent="0.2">
      <c r="B22" s="8">
        <v>62</v>
      </c>
      <c r="C22" s="8">
        <v>122</v>
      </c>
    </row>
    <row r="23" spans="2:3" x14ac:dyDescent="0.2">
      <c r="B23" s="8">
        <v>393</v>
      </c>
      <c r="C23" s="8">
        <v>443</v>
      </c>
    </row>
    <row r="24" spans="2:3" x14ac:dyDescent="0.2">
      <c r="B24" s="8">
        <v>277</v>
      </c>
      <c r="C24" s="8">
        <v>366</v>
      </c>
    </row>
    <row r="25" spans="2:3" x14ac:dyDescent="0.2">
      <c r="B25" s="8">
        <v>206</v>
      </c>
      <c r="C25" s="8">
        <v>244</v>
      </c>
    </row>
    <row r="26" spans="2:3" x14ac:dyDescent="0.2">
      <c r="B26" s="8">
        <v>229</v>
      </c>
      <c r="C26" s="8">
        <v>241</v>
      </c>
    </row>
    <row r="27" spans="2:3" x14ac:dyDescent="0.2">
      <c r="B27" s="8">
        <v>182</v>
      </c>
      <c r="C27" s="8">
        <v>237</v>
      </c>
    </row>
    <row r="28" spans="2:3" x14ac:dyDescent="0.2">
      <c r="B28" s="8">
        <v>98</v>
      </c>
      <c r="C28" s="8">
        <v>122</v>
      </c>
    </row>
    <row r="29" spans="2:3" x14ac:dyDescent="0.2">
      <c r="B29" s="8">
        <v>125</v>
      </c>
      <c r="C29" s="8">
        <v>129</v>
      </c>
    </row>
    <row r="30" spans="2:3" x14ac:dyDescent="0.2">
      <c r="B30" s="8">
        <v>164</v>
      </c>
      <c r="C30" s="8">
        <v>236</v>
      </c>
    </row>
    <row r="31" spans="2:3" x14ac:dyDescent="0.2">
      <c r="B31" s="8">
        <v>186</v>
      </c>
      <c r="C31" s="8">
        <v>251</v>
      </c>
    </row>
    <row r="32" spans="2:3" x14ac:dyDescent="0.2">
      <c r="B32" s="8">
        <v>235</v>
      </c>
      <c r="C32" s="8">
        <v>283</v>
      </c>
    </row>
    <row r="33" spans="2:3" x14ac:dyDescent="0.2">
      <c r="B33" s="8">
        <v>184</v>
      </c>
      <c r="C33" s="8">
        <v>225</v>
      </c>
    </row>
    <row r="34" spans="2:3" x14ac:dyDescent="0.2">
      <c r="B34" s="8">
        <v>76</v>
      </c>
      <c r="C34" s="8">
        <v>102</v>
      </c>
    </row>
    <row r="35" spans="2:3" x14ac:dyDescent="0.2">
      <c r="B35" s="8">
        <v>126</v>
      </c>
      <c r="C35" s="8">
        <v>180</v>
      </c>
    </row>
    <row r="36" spans="2:3" x14ac:dyDescent="0.2">
      <c r="B36" s="8">
        <v>183</v>
      </c>
      <c r="C36" s="8">
        <v>247</v>
      </c>
    </row>
    <row r="37" spans="2:3" x14ac:dyDescent="0.2">
      <c r="B37" s="8">
        <v>242</v>
      </c>
      <c r="C37" s="8">
        <v>343</v>
      </c>
    </row>
    <row r="38" spans="2:3" x14ac:dyDescent="0.2">
      <c r="B38" s="8">
        <v>207</v>
      </c>
      <c r="C38" s="8">
        <v>283</v>
      </c>
    </row>
    <row r="39" spans="2:3" x14ac:dyDescent="0.2">
      <c r="B39" s="8">
        <v>181</v>
      </c>
      <c r="C39" s="8">
        <v>253</v>
      </c>
    </row>
    <row r="40" spans="2:3" x14ac:dyDescent="0.2">
      <c r="B40" s="8">
        <v>239</v>
      </c>
      <c r="C40" s="8">
        <v>263</v>
      </c>
    </row>
    <row r="41" spans="2:3" x14ac:dyDescent="0.2">
      <c r="B41" s="8">
        <v>216</v>
      </c>
      <c r="C41" s="8">
        <v>291</v>
      </c>
    </row>
    <row r="42" spans="2:3" x14ac:dyDescent="0.2">
      <c r="B42" s="8">
        <v>289</v>
      </c>
      <c r="C42" s="8">
        <v>368</v>
      </c>
    </row>
    <row r="43" spans="2:3" x14ac:dyDescent="0.2">
      <c r="B43" s="8">
        <v>213</v>
      </c>
      <c r="C43" s="8">
        <v>206</v>
      </c>
    </row>
    <row r="44" spans="2:3" x14ac:dyDescent="0.2">
      <c r="B44" s="8">
        <v>209</v>
      </c>
      <c r="C44" s="8">
        <v>231</v>
      </c>
    </row>
    <row r="45" spans="2:3" x14ac:dyDescent="0.2">
      <c r="B45" s="8">
        <v>376</v>
      </c>
      <c r="C45" s="8">
        <v>389</v>
      </c>
    </row>
    <row r="46" spans="2:3" x14ac:dyDescent="0.2">
      <c r="B46" s="8">
        <v>332</v>
      </c>
      <c r="C46" s="8">
        <v>396</v>
      </c>
    </row>
    <row r="47" spans="2:3" x14ac:dyDescent="0.2">
      <c r="B47" s="8">
        <v>249</v>
      </c>
      <c r="C47" s="8">
        <v>339</v>
      </c>
    </row>
    <row r="48" spans="2:3" x14ac:dyDescent="0.2">
      <c r="B48" s="8">
        <v>228</v>
      </c>
      <c r="C48" s="8">
        <v>286</v>
      </c>
    </row>
    <row r="49" spans="2:3" x14ac:dyDescent="0.2">
      <c r="B49" s="8">
        <v>124</v>
      </c>
      <c r="C49" s="8">
        <v>146</v>
      </c>
    </row>
    <row r="50" spans="2:3" x14ac:dyDescent="0.2">
      <c r="B50" s="8">
        <v>194</v>
      </c>
      <c r="C50" s="8">
        <v>315</v>
      </c>
    </row>
    <row r="51" spans="2:3" x14ac:dyDescent="0.2">
      <c r="B51" s="8">
        <v>157</v>
      </c>
      <c r="C51" s="8">
        <v>183</v>
      </c>
    </row>
    <row r="52" spans="2:3" x14ac:dyDescent="0.2">
      <c r="B52" s="8">
        <v>402</v>
      </c>
      <c r="C52" s="8">
        <v>481</v>
      </c>
    </row>
    <row r="53" spans="2:3" x14ac:dyDescent="0.2">
      <c r="B53" s="8">
        <v>323</v>
      </c>
      <c r="C53" s="8">
        <v>349</v>
      </c>
    </row>
    <row r="54" spans="2:3" x14ac:dyDescent="0.2">
      <c r="B54" s="8">
        <v>181</v>
      </c>
      <c r="C54" s="8">
        <v>225</v>
      </c>
    </row>
    <row r="55" spans="2:3" x14ac:dyDescent="0.2">
      <c r="B55" s="8">
        <v>157</v>
      </c>
      <c r="C55" s="8">
        <v>217</v>
      </c>
    </row>
    <row r="56" spans="2:3" x14ac:dyDescent="0.2">
      <c r="B56" s="8">
        <v>266</v>
      </c>
      <c r="C56" s="8">
        <v>353</v>
      </c>
    </row>
    <row r="57" spans="2:3" x14ac:dyDescent="0.2">
      <c r="B57" s="8">
        <v>268</v>
      </c>
      <c r="C57" s="8">
        <v>314</v>
      </c>
    </row>
    <row r="58" spans="2:3" x14ac:dyDescent="0.2">
      <c r="B58" s="8">
        <v>167</v>
      </c>
      <c r="C58" s="8">
        <v>247</v>
      </c>
    </row>
    <row r="59" spans="2:3" x14ac:dyDescent="0.2">
      <c r="B59" s="8">
        <v>342</v>
      </c>
      <c r="C59" s="8">
        <v>410</v>
      </c>
    </row>
    <row r="60" spans="2:3" x14ac:dyDescent="0.2">
      <c r="B60" s="8">
        <v>349</v>
      </c>
      <c r="C60" s="8">
        <v>395</v>
      </c>
    </row>
    <row r="61" spans="2:3" x14ac:dyDescent="0.2">
      <c r="B61" s="8">
        <v>340</v>
      </c>
      <c r="C61" s="8">
        <v>416</v>
      </c>
    </row>
    <row r="62" spans="2:3" x14ac:dyDescent="0.2">
      <c r="B62" s="8">
        <v>227</v>
      </c>
      <c r="C62" s="8">
        <v>342</v>
      </c>
    </row>
    <row r="63" spans="2:3" x14ac:dyDescent="0.2">
      <c r="B63" s="8">
        <v>409</v>
      </c>
      <c r="C63" s="8">
        <v>446</v>
      </c>
    </row>
    <row r="64" spans="2:3" x14ac:dyDescent="0.2">
      <c r="B64" s="8">
        <v>400</v>
      </c>
      <c r="C64" s="8">
        <v>477</v>
      </c>
    </row>
    <row r="65" spans="2:3" x14ac:dyDescent="0.2">
      <c r="B65" s="8">
        <v>374</v>
      </c>
      <c r="C65" s="8">
        <v>444</v>
      </c>
    </row>
    <row r="66" spans="2:3" x14ac:dyDescent="0.2">
      <c r="B66" s="8">
        <v>255</v>
      </c>
      <c r="C66" s="8">
        <v>351</v>
      </c>
    </row>
    <row r="67" spans="2:3" x14ac:dyDescent="0.2">
      <c r="B67" s="8">
        <v>146</v>
      </c>
      <c r="C67" s="8">
        <v>165</v>
      </c>
    </row>
    <row r="68" spans="2:3" x14ac:dyDescent="0.2">
      <c r="B68" s="8">
        <v>248</v>
      </c>
      <c r="C68" s="8">
        <v>317</v>
      </c>
    </row>
    <row r="69" spans="2:3" x14ac:dyDescent="0.2">
      <c r="B69" s="8">
        <v>198</v>
      </c>
      <c r="C69" s="8">
        <v>250</v>
      </c>
    </row>
    <row r="70" spans="2:3" x14ac:dyDescent="0.2">
      <c r="B70" s="8">
        <v>210</v>
      </c>
      <c r="C70" s="8">
        <v>217</v>
      </c>
    </row>
    <row r="71" spans="2:3" x14ac:dyDescent="0.2">
      <c r="B71" s="8">
        <v>107</v>
      </c>
      <c r="C71" s="8">
        <v>138</v>
      </c>
    </row>
    <row r="72" spans="2:3" x14ac:dyDescent="0.2">
      <c r="B72" s="8">
        <v>239</v>
      </c>
      <c r="C72" s="8">
        <v>302</v>
      </c>
    </row>
    <row r="73" spans="2:3" x14ac:dyDescent="0.2">
      <c r="B73" s="8">
        <v>287</v>
      </c>
      <c r="C73" s="8">
        <v>311</v>
      </c>
    </row>
    <row r="74" spans="2:3" x14ac:dyDescent="0.2">
      <c r="B74" s="8">
        <v>340</v>
      </c>
      <c r="C74" s="8">
        <v>373</v>
      </c>
    </row>
    <row r="75" spans="2:3" x14ac:dyDescent="0.2">
      <c r="B75" s="8">
        <v>155</v>
      </c>
      <c r="C75" s="8">
        <v>196</v>
      </c>
    </row>
    <row r="76" spans="2:3" x14ac:dyDescent="0.2">
      <c r="B76" s="8">
        <v>263</v>
      </c>
      <c r="C76" s="8">
        <v>306</v>
      </c>
    </row>
    <row r="77" spans="2:3" x14ac:dyDescent="0.2">
      <c r="B77" s="8">
        <v>265</v>
      </c>
      <c r="C77" s="8">
        <v>302</v>
      </c>
    </row>
    <row r="78" spans="2:3" x14ac:dyDescent="0.2">
      <c r="B78" s="8">
        <v>249</v>
      </c>
      <c r="C78" s="8">
        <v>278</v>
      </c>
    </row>
    <row r="79" spans="2:3" x14ac:dyDescent="0.2">
      <c r="B79" s="8">
        <v>377</v>
      </c>
      <c r="C79" s="8">
        <v>429</v>
      </c>
    </row>
    <row r="80" spans="2:3" x14ac:dyDescent="0.2">
      <c r="B80" s="8">
        <v>301</v>
      </c>
      <c r="C80" s="8">
        <v>338</v>
      </c>
    </row>
    <row r="81" spans="2:3" x14ac:dyDescent="0.2">
      <c r="B81" s="8">
        <v>242</v>
      </c>
      <c r="C81" s="8">
        <v>261</v>
      </c>
    </row>
    <row r="82" spans="2:3" x14ac:dyDescent="0.2">
      <c r="B82" s="8">
        <v>211</v>
      </c>
      <c r="C82" s="8">
        <v>256</v>
      </c>
    </row>
    <row r="83" spans="2:3" x14ac:dyDescent="0.2">
      <c r="B83" s="8">
        <v>160</v>
      </c>
      <c r="C83" s="8">
        <v>183</v>
      </c>
    </row>
    <row r="84" spans="2:3" x14ac:dyDescent="0.2">
      <c r="B84" s="8">
        <v>218</v>
      </c>
      <c r="C84" s="8">
        <v>274</v>
      </c>
    </row>
    <row r="85" spans="2:3" x14ac:dyDescent="0.2">
      <c r="B85" s="8">
        <v>133</v>
      </c>
      <c r="C85" s="8">
        <v>182</v>
      </c>
    </row>
    <row r="86" spans="2:3" x14ac:dyDescent="0.2">
      <c r="B86" s="8">
        <v>122</v>
      </c>
      <c r="C86" s="8">
        <v>183</v>
      </c>
    </row>
    <row r="87" spans="2:3" x14ac:dyDescent="0.2">
      <c r="B87" s="8">
        <v>236</v>
      </c>
      <c r="C87" s="8">
        <v>309</v>
      </c>
    </row>
    <row r="88" spans="2:3" x14ac:dyDescent="0.2">
      <c r="B88" s="8">
        <v>143</v>
      </c>
      <c r="C88" s="8">
        <v>178</v>
      </c>
    </row>
    <row r="89" spans="2:3" x14ac:dyDescent="0.2">
      <c r="B89" s="8">
        <v>354</v>
      </c>
      <c r="C89" s="8">
        <v>458</v>
      </c>
    </row>
    <row r="90" spans="2:3" x14ac:dyDescent="0.2">
      <c r="B90" s="8">
        <v>214</v>
      </c>
      <c r="C90" s="8">
        <v>234</v>
      </c>
    </row>
    <row r="91" spans="2:3" x14ac:dyDescent="0.2">
      <c r="B91" s="8">
        <v>225</v>
      </c>
      <c r="C91" s="8">
        <v>306</v>
      </c>
    </row>
    <row r="92" spans="2:3" x14ac:dyDescent="0.2">
      <c r="B92" s="8">
        <v>261</v>
      </c>
      <c r="C92" s="8">
        <v>400</v>
      </c>
    </row>
    <row r="93" spans="2:3" x14ac:dyDescent="0.2">
      <c r="B93" s="8">
        <v>277</v>
      </c>
      <c r="C93" s="8">
        <v>337</v>
      </c>
    </row>
    <row r="94" spans="2:3" x14ac:dyDescent="0.2">
      <c r="B94" s="8">
        <v>282</v>
      </c>
      <c r="C94" s="8">
        <v>325</v>
      </c>
    </row>
    <row r="95" spans="2:3" x14ac:dyDescent="0.2">
      <c r="B95" s="8">
        <v>322</v>
      </c>
      <c r="C95" s="8">
        <v>329</v>
      </c>
    </row>
    <row r="96" spans="2:3" x14ac:dyDescent="0.2">
      <c r="B96" s="8">
        <v>326</v>
      </c>
      <c r="C96" s="8">
        <v>369</v>
      </c>
    </row>
    <row r="97" spans="2:3" x14ac:dyDescent="0.2">
      <c r="B97" s="8">
        <v>421</v>
      </c>
      <c r="C97" s="8">
        <v>457</v>
      </c>
    </row>
    <row r="98" spans="2:3" x14ac:dyDescent="0.2">
      <c r="B98" s="8">
        <v>368</v>
      </c>
      <c r="C98" s="8">
        <v>421</v>
      </c>
    </row>
    <row r="99" spans="2:3" x14ac:dyDescent="0.2">
      <c r="B99" s="8">
        <v>279</v>
      </c>
      <c r="C99" s="8">
        <v>282</v>
      </c>
    </row>
    <row r="100" spans="2:3" x14ac:dyDescent="0.2">
      <c r="B100" s="8">
        <v>268</v>
      </c>
      <c r="C100" s="8">
        <v>256</v>
      </c>
    </row>
  </sheetData>
  <mergeCells count="4">
    <mergeCell ref="E5:F5"/>
    <mergeCell ref="H5:I5"/>
    <mergeCell ref="K5:L5"/>
    <mergeCell ref="N5:O5"/>
  </mergeCells>
  <pageMargins left="0.7" right="0.7" top="0.75" bottom="0.75" header="0.3" footer="0.3"/>
  <pageSetup orientation="portrait" r:id="rId1"/>
  <drawing r:id="rId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3E029-EFDC-4177-801B-1FB3BFE2CC81}">
  <sheetPr codeName="Sheet56">
    <tabColor rgb="FFEFE5F7"/>
  </sheetPr>
  <dimension ref="B1:O100"/>
  <sheetViews>
    <sheetView showGridLines="0" workbookViewId="0">
      <selection activeCell="D58" sqref="D58:D59"/>
    </sheetView>
  </sheetViews>
  <sheetFormatPr baseColWidth="10" defaultColWidth="8.83203125" defaultRowHeight="15" x14ac:dyDescent="0.2"/>
  <cols>
    <col min="1" max="1" width="2.83203125" customWidth="1"/>
    <col min="2" max="2" width="20.6640625" bestFit="1" customWidth="1"/>
    <col min="3" max="3" width="19.33203125" bestFit="1" customWidth="1"/>
    <col min="5" max="5" width="14.33203125" customWidth="1"/>
    <col min="6" max="6" width="9.1640625" customWidth="1"/>
    <col min="8" max="8" width="11.5" customWidth="1"/>
    <col min="14" max="14" width="15.1640625" bestFit="1" customWidth="1"/>
    <col min="15" max="15" width="11.5" customWidth="1"/>
  </cols>
  <sheetData>
    <row r="1" spans="2:15" ht="25.5" customHeight="1" x14ac:dyDescent="0.25">
      <c r="B1" s="18" t="s">
        <v>265</v>
      </c>
    </row>
    <row r="2" spans="2:15" ht="15" customHeight="1" x14ac:dyDescent="0.2">
      <c r="B2" s="30" t="s">
        <v>259</v>
      </c>
    </row>
    <row r="3" spans="2:15" ht="18" customHeight="1" x14ac:dyDescent="0.2"/>
    <row r="4" spans="2:15" x14ac:dyDescent="0.2">
      <c r="E4" s="3" t="s">
        <v>54</v>
      </c>
    </row>
    <row r="5" spans="2:15" x14ac:dyDescent="0.2">
      <c r="B5" s="43" t="s">
        <v>22</v>
      </c>
      <c r="C5" s="43" t="s">
        <v>23</v>
      </c>
      <c r="E5" s="115" t="s">
        <v>229</v>
      </c>
      <c r="F5" s="115"/>
      <c r="H5" s="115" t="s">
        <v>242</v>
      </c>
      <c r="I5" s="115"/>
      <c r="K5" s="115" t="s">
        <v>241</v>
      </c>
      <c r="L5" s="115"/>
      <c r="N5" s="115" t="s">
        <v>248</v>
      </c>
      <c r="O5" s="115"/>
    </row>
    <row r="6" spans="2:15" x14ac:dyDescent="0.2">
      <c r="B6" s="51">
        <v>252</v>
      </c>
      <c r="C6" s="51">
        <v>276</v>
      </c>
      <c r="E6" s="20" t="s">
        <v>230</v>
      </c>
      <c r="F6" s="87">
        <f>PEARSON(B6:B100,C6:C100)</f>
        <v>0.94886589689776391</v>
      </c>
      <c r="H6" s="20" t="s">
        <v>239</v>
      </c>
      <c r="I6" s="75">
        <f>INTERCEPT(C6:C100,B6:B100)</f>
        <v>41.63016671209175</v>
      </c>
      <c r="K6" s="20" t="s">
        <v>235</v>
      </c>
      <c r="L6" s="71">
        <v>250</v>
      </c>
      <c r="N6" s="58" t="s">
        <v>249</v>
      </c>
      <c r="O6" s="97" cm="1">
        <f t="array" ref="O6">SUMSQ(C6:C100-_xlfn.FORECAST.LINEAR(B6:B100,C6:C100,B6:B100))</f>
        <v>81929.289620086478</v>
      </c>
    </row>
    <row r="7" spans="2:15" x14ac:dyDescent="0.2">
      <c r="B7" s="8">
        <v>423</v>
      </c>
      <c r="C7" s="8">
        <v>410</v>
      </c>
      <c r="H7" s="20" t="s">
        <v>240</v>
      </c>
      <c r="I7" s="87">
        <f>SLOPE(C6:C100,B6:B100)</f>
        <v>1.0325625976197308</v>
      </c>
      <c r="K7" s="20" t="s">
        <v>236</v>
      </c>
      <c r="L7" s="72">
        <f>_xlfn.FORECAST.LINEAR(L6,C6:C100,B6:B100)</f>
        <v>299.77081611702442</v>
      </c>
      <c r="N7" s="58" t="s">
        <v>250</v>
      </c>
      <c r="O7" s="97" cm="1">
        <f t="array" ref="O7">SUMSQ(C6:C100-AVERAGE(C6:C100))</f>
        <v>822141.5368421051</v>
      </c>
    </row>
    <row r="8" spans="2:15" x14ac:dyDescent="0.2">
      <c r="B8" s="8">
        <v>101</v>
      </c>
      <c r="C8" s="8">
        <v>119</v>
      </c>
      <c r="N8" s="20" t="s">
        <v>251</v>
      </c>
      <c r="O8" s="87">
        <f>RSQ(C6:C100,B6:B100)</f>
        <v>0.90034649029559788</v>
      </c>
    </row>
    <row r="9" spans="2:15" x14ac:dyDescent="0.2">
      <c r="B9" s="8">
        <v>288</v>
      </c>
      <c r="C9" s="8">
        <v>334</v>
      </c>
      <c r="N9" s="58" t="s">
        <v>254</v>
      </c>
      <c r="O9" s="97">
        <f>O6/(COUNT(C6:C100)-1-1)</f>
        <v>880.96010344179012</v>
      </c>
    </row>
    <row r="10" spans="2:15" x14ac:dyDescent="0.2">
      <c r="B10" s="8">
        <v>248</v>
      </c>
      <c r="C10" s="8">
        <v>252</v>
      </c>
      <c r="N10" s="20" t="s">
        <v>146</v>
      </c>
      <c r="O10" s="75">
        <f>STEYX(C6:C100,B6:B100)</f>
        <v>29.680972077103387</v>
      </c>
    </row>
    <row r="11" spans="2:15" x14ac:dyDescent="0.2">
      <c r="B11" s="8">
        <v>145</v>
      </c>
      <c r="C11" s="8">
        <v>209</v>
      </c>
    </row>
    <row r="12" spans="2:15" x14ac:dyDescent="0.2">
      <c r="B12" s="8">
        <v>401</v>
      </c>
      <c r="C12" s="8">
        <v>462</v>
      </c>
    </row>
    <row r="13" spans="2:15" x14ac:dyDescent="0.2">
      <c r="B13" s="8">
        <v>287</v>
      </c>
      <c r="C13" s="8">
        <v>342</v>
      </c>
    </row>
    <row r="14" spans="2:15" x14ac:dyDescent="0.2">
      <c r="B14" s="8">
        <v>275</v>
      </c>
      <c r="C14" s="8">
        <v>347</v>
      </c>
    </row>
    <row r="15" spans="2:15" x14ac:dyDescent="0.2">
      <c r="B15" s="8">
        <v>254</v>
      </c>
      <c r="C15" s="8">
        <v>313</v>
      </c>
    </row>
    <row r="16" spans="2:15" x14ac:dyDescent="0.2">
      <c r="B16" s="8">
        <v>182</v>
      </c>
      <c r="C16" s="8">
        <v>232</v>
      </c>
    </row>
    <row r="17" spans="2:3" x14ac:dyDescent="0.2">
      <c r="B17" s="8">
        <v>117</v>
      </c>
      <c r="C17" s="8">
        <v>163</v>
      </c>
    </row>
    <row r="18" spans="2:3" x14ac:dyDescent="0.2">
      <c r="B18" s="8">
        <v>130</v>
      </c>
      <c r="C18" s="8">
        <v>119</v>
      </c>
    </row>
    <row r="19" spans="2:3" x14ac:dyDescent="0.2">
      <c r="B19" s="8">
        <v>219</v>
      </c>
      <c r="C19" s="8">
        <v>304</v>
      </c>
    </row>
    <row r="20" spans="2:3" x14ac:dyDescent="0.2">
      <c r="B20" s="8">
        <v>152</v>
      </c>
      <c r="C20" s="8">
        <v>211</v>
      </c>
    </row>
    <row r="21" spans="2:3" x14ac:dyDescent="0.2">
      <c r="B21" s="8">
        <v>228</v>
      </c>
      <c r="C21" s="8">
        <v>286</v>
      </c>
    </row>
    <row r="22" spans="2:3" x14ac:dyDescent="0.2">
      <c r="B22" s="8">
        <v>62</v>
      </c>
      <c r="C22" s="8">
        <v>122</v>
      </c>
    </row>
    <row r="23" spans="2:3" x14ac:dyDescent="0.2">
      <c r="B23" s="8">
        <v>393</v>
      </c>
      <c r="C23" s="8">
        <v>443</v>
      </c>
    </row>
    <row r="24" spans="2:3" x14ac:dyDescent="0.2">
      <c r="B24" s="8">
        <v>277</v>
      </c>
      <c r="C24" s="8">
        <v>366</v>
      </c>
    </row>
    <row r="25" spans="2:3" x14ac:dyDescent="0.2">
      <c r="B25" s="8">
        <v>206</v>
      </c>
      <c r="C25" s="8">
        <v>244</v>
      </c>
    </row>
    <row r="26" spans="2:3" x14ac:dyDescent="0.2">
      <c r="B26" s="8">
        <v>229</v>
      </c>
      <c r="C26" s="8">
        <v>241</v>
      </c>
    </row>
    <row r="27" spans="2:3" x14ac:dyDescent="0.2">
      <c r="B27" s="8">
        <v>182</v>
      </c>
      <c r="C27" s="8">
        <v>237</v>
      </c>
    </row>
    <row r="28" spans="2:3" x14ac:dyDescent="0.2">
      <c r="B28" s="8">
        <v>98</v>
      </c>
      <c r="C28" s="8">
        <v>122</v>
      </c>
    </row>
    <row r="29" spans="2:3" x14ac:dyDescent="0.2">
      <c r="B29" s="8">
        <v>125</v>
      </c>
      <c r="C29" s="8">
        <v>129</v>
      </c>
    </row>
    <row r="30" spans="2:3" x14ac:dyDescent="0.2">
      <c r="B30" s="8">
        <v>164</v>
      </c>
      <c r="C30" s="8">
        <v>236</v>
      </c>
    </row>
    <row r="31" spans="2:3" x14ac:dyDescent="0.2">
      <c r="B31" s="8">
        <v>186</v>
      </c>
      <c r="C31" s="8">
        <v>251</v>
      </c>
    </row>
    <row r="32" spans="2:3" x14ac:dyDescent="0.2">
      <c r="B32" s="8">
        <v>235</v>
      </c>
      <c r="C32" s="8">
        <v>283</v>
      </c>
    </row>
    <row r="33" spans="2:3" x14ac:dyDescent="0.2">
      <c r="B33" s="8">
        <v>184</v>
      </c>
      <c r="C33" s="8">
        <v>225</v>
      </c>
    </row>
    <row r="34" spans="2:3" x14ac:dyDescent="0.2">
      <c r="B34" s="8">
        <v>76</v>
      </c>
      <c r="C34" s="8">
        <v>102</v>
      </c>
    </row>
    <row r="35" spans="2:3" x14ac:dyDescent="0.2">
      <c r="B35" s="8">
        <v>126</v>
      </c>
      <c r="C35" s="8">
        <v>180</v>
      </c>
    </row>
    <row r="36" spans="2:3" x14ac:dyDescent="0.2">
      <c r="B36" s="8">
        <v>183</v>
      </c>
      <c r="C36" s="8">
        <v>247</v>
      </c>
    </row>
    <row r="37" spans="2:3" x14ac:dyDescent="0.2">
      <c r="B37" s="8">
        <v>242</v>
      </c>
      <c r="C37" s="8">
        <v>343</v>
      </c>
    </row>
    <row r="38" spans="2:3" x14ac:dyDescent="0.2">
      <c r="B38" s="8">
        <v>207</v>
      </c>
      <c r="C38" s="8">
        <v>283</v>
      </c>
    </row>
    <row r="39" spans="2:3" x14ac:dyDescent="0.2">
      <c r="B39" s="8">
        <v>181</v>
      </c>
      <c r="C39" s="8">
        <v>253</v>
      </c>
    </row>
    <row r="40" spans="2:3" x14ac:dyDescent="0.2">
      <c r="B40" s="8">
        <v>239</v>
      </c>
      <c r="C40" s="8">
        <v>263</v>
      </c>
    </row>
    <row r="41" spans="2:3" x14ac:dyDescent="0.2">
      <c r="B41" s="8">
        <v>216</v>
      </c>
      <c r="C41" s="8">
        <v>291</v>
      </c>
    </row>
    <row r="42" spans="2:3" x14ac:dyDescent="0.2">
      <c r="B42" s="8">
        <v>289</v>
      </c>
      <c r="C42" s="8">
        <v>368</v>
      </c>
    </row>
    <row r="43" spans="2:3" x14ac:dyDescent="0.2">
      <c r="B43" s="8">
        <v>213</v>
      </c>
      <c r="C43" s="8">
        <v>206</v>
      </c>
    </row>
    <row r="44" spans="2:3" x14ac:dyDescent="0.2">
      <c r="B44" s="8">
        <v>209</v>
      </c>
      <c r="C44" s="8">
        <v>231</v>
      </c>
    </row>
    <row r="45" spans="2:3" x14ac:dyDescent="0.2">
      <c r="B45" s="8">
        <v>376</v>
      </c>
      <c r="C45" s="8">
        <v>389</v>
      </c>
    </row>
    <row r="46" spans="2:3" x14ac:dyDescent="0.2">
      <c r="B46" s="8">
        <v>332</v>
      </c>
      <c r="C46" s="8">
        <v>396</v>
      </c>
    </row>
    <row r="47" spans="2:3" x14ac:dyDescent="0.2">
      <c r="B47" s="8">
        <v>249</v>
      </c>
      <c r="C47" s="8">
        <v>339</v>
      </c>
    </row>
    <row r="48" spans="2:3" x14ac:dyDescent="0.2">
      <c r="B48" s="8">
        <v>228</v>
      </c>
      <c r="C48" s="8">
        <v>286</v>
      </c>
    </row>
    <row r="49" spans="2:3" x14ac:dyDescent="0.2">
      <c r="B49" s="8">
        <v>124</v>
      </c>
      <c r="C49" s="8">
        <v>146</v>
      </c>
    </row>
    <row r="50" spans="2:3" x14ac:dyDescent="0.2">
      <c r="B50" s="8">
        <v>194</v>
      </c>
      <c r="C50" s="8">
        <v>315</v>
      </c>
    </row>
    <row r="51" spans="2:3" x14ac:dyDescent="0.2">
      <c r="B51" s="8">
        <v>157</v>
      </c>
      <c r="C51" s="8">
        <v>183</v>
      </c>
    </row>
    <row r="52" spans="2:3" x14ac:dyDescent="0.2">
      <c r="B52" s="8">
        <v>402</v>
      </c>
      <c r="C52" s="8">
        <v>481</v>
      </c>
    </row>
    <row r="53" spans="2:3" x14ac:dyDescent="0.2">
      <c r="B53" s="8">
        <v>323</v>
      </c>
      <c r="C53" s="8">
        <v>349</v>
      </c>
    </row>
    <row r="54" spans="2:3" x14ac:dyDescent="0.2">
      <c r="B54" s="8">
        <v>181</v>
      </c>
      <c r="C54" s="8">
        <v>225</v>
      </c>
    </row>
    <row r="55" spans="2:3" x14ac:dyDescent="0.2">
      <c r="B55" s="8">
        <v>157</v>
      </c>
      <c r="C55" s="8">
        <v>217</v>
      </c>
    </row>
    <row r="56" spans="2:3" x14ac:dyDescent="0.2">
      <c r="B56" s="8">
        <v>266</v>
      </c>
      <c r="C56" s="8">
        <v>353</v>
      </c>
    </row>
    <row r="57" spans="2:3" x14ac:dyDescent="0.2">
      <c r="B57" s="8">
        <v>268</v>
      </c>
      <c r="C57" s="8">
        <v>314</v>
      </c>
    </row>
    <row r="58" spans="2:3" x14ac:dyDescent="0.2">
      <c r="B58" s="8">
        <v>167</v>
      </c>
      <c r="C58" s="8">
        <v>247</v>
      </c>
    </row>
    <row r="59" spans="2:3" x14ac:dyDescent="0.2">
      <c r="B59" s="8">
        <v>342</v>
      </c>
      <c r="C59" s="8">
        <v>410</v>
      </c>
    </row>
    <row r="60" spans="2:3" x14ac:dyDescent="0.2">
      <c r="B60" s="8">
        <v>349</v>
      </c>
      <c r="C60" s="8">
        <v>395</v>
      </c>
    </row>
    <row r="61" spans="2:3" x14ac:dyDescent="0.2">
      <c r="B61" s="8">
        <v>340</v>
      </c>
      <c r="C61" s="8">
        <v>416</v>
      </c>
    </row>
    <row r="62" spans="2:3" x14ac:dyDescent="0.2">
      <c r="B62" s="8">
        <v>227</v>
      </c>
      <c r="C62" s="8">
        <v>342</v>
      </c>
    </row>
    <row r="63" spans="2:3" x14ac:dyDescent="0.2">
      <c r="B63" s="8">
        <v>409</v>
      </c>
      <c r="C63" s="8">
        <v>446</v>
      </c>
    </row>
    <row r="64" spans="2:3" x14ac:dyDescent="0.2">
      <c r="B64" s="8">
        <v>400</v>
      </c>
      <c r="C64" s="8">
        <v>477</v>
      </c>
    </row>
    <row r="65" spans="2:3" x14ac:dyDescent="0.2">
      <c r="B65" s="8">
        <v>374</v>
      </c>
      <c r="C65" s="8">
        <v>444</v>
      </c>
    </row>
    <row r="66" spans="2:3" x14ac:dyDescent="0.2">
      <c r="B66" s="8">
        <v>255</v>
      </c>
      <c r="C66" s="8">
        <v>351</v>
      </c>
    </row>
    <row r="67" spans="2:3" x14ac:dyDescent="0.2">
      <c r="B67" s="8">
        <v>146</v>
      </c>
      <c r="C67" s="8">
        <v>165</v>
      </c>
    </row>
    <row r="68" spans="2:3" x14ac:dyDescent="0.2">
      <c r="B68" s="8">
        <v>248</v>
      </c>
      <c r="C68" s="8">
        <v>317</v>
      </c>
    </row>
    <row r="69" spans="2:3" x14ac:dyDescent="0.2">
      <c r="B69" s="8">
        <v>198</v>
      </c>
      <c r="C69" s="8">
        <v>250</v>
      </c>
    </row>
    <row r="70" spans="2:3" x14ac:dyDescent="0.2">
      <c r="B70" s="8">
        <v>210</v>
      </c>
      <c r="C70" s="8">
        <v>217</v>
      </c>
    </row>
    <row r="71" spans="2:3" x14ac:dyDescent="0.2">
      <c r="B71" s="8">
        <v>107</v>
      </c>
      <c r="C71" s="8">
        <v>138</v>
      </c>
    </row>
    <row r="72" spans="2:3" x14ac:dyDescent="0.2">
      <c r="B72" s="8">
        <v>239</v>
      </c>
      <c r="C72" s="8">
        <v>302</v>
      </c>
    </row>
    <row r="73" spans="2:3" x14ac:dyDescent="0.2">
      <c r="B73" s="8">
        <v>287</v>
      </c>
      <c r="C73" s="8">
        <v>311</v>
      </c>
    </row>
    <row r="74" spans="2:3" x14ac:dyDescent="0.2">
      <c r="B74" s="8">
        <v>340</v>
      </c>
      <c r="C74" s="8">
        <v>373</v>
      </c>
    </row>
    <row r="75" spans="2:3" x14ac:dyDescent="0.2">
      <c r="B75" s="8">
        <v>155</v>
      </c>
      <c r="C75" s="8">
        <v>196</v>
      </c>
    </row>
    <row r="76" spans="2:3" x14ac:dyDescent="0.2">
      <c r="B76" s="8">
        <v>263</v>
      </c>
      <c r="C76" s="8">
        <v>306</v>
      </c>
    </row>
    <row r="77" spans="2:3" x14ac:dyDescent="0.2">
      <c r="B77" s="8">
        <v>265</v>
      </c>
      <c r="C77" s="8">
        <v>302</v>
      </c>
    </row>
    <row r="78" spans="2:3" x14ac:dyDescent="0.2">
      <c r="B78" s="8">
        <v>249</v>
      </c>
      <c r="C78" s="8">
        <v>278</v>
      </c>
    </row>
    <row r="79" spans="2:3" x14ac:dyDescent="0.2">
      <c r="B79" s="8">
        <v>377</v>
      </c>
      <c r="C79" s="8">
        <v>429</v>
      </c>
    </row>
    <row r="80" spans="2:3" x14ac:dyDescent="0.2">
      <c r="B80" s="8">
        <v>301</v>
      </c>
      <c r="C80" s="8">
        <v>338</v>
      </c>
    </row>
    <row r="81" spans="2:3" x14ac:dyDescent="0.2">
      <c r="B81" s="8">
        <v>242</v>
      </c>
      <c r="C81" s="8">
        <v>261</v>
      </c>
    </row>
    <row r="82" spans="2:3" x14ac:dyDescent="0.2">
      <c r="B82" s="8">
        <v>211</v>
      </c>
      <c r="C82" s="8">
        <v>256</v>
      </c>
    </row>
    <row r="83" spans="2:3" x14ac:dyDescent="0.2">
      <c r="B83" s="8">
        <v>160</v>
      </c>
      <c r="C83" s="8">
        <v>183</v>
      </c>
    </row>
    <row r="84" spans="2:3" x14ac:dyDescent="0.2">
      <c r="B84" s="8">
        <v>218</v>
      </c>
      <c r="C84" s="8">
        <v>274</v>
      </c>
    </row>
    <row r="85" spans="2:3" x14ac:dyDescent="0.2">
      <c r="B85" s="8">
        <v>133</v>
      </c>
      <c r="C85" s="8">
        <v>182</v>
      </c>
    </row>
    <row r="86" spans="2:3" x14ac:dyDescent="0.2">
      <c r="B86" s="8">
        <v>122</v>
      </c>
      <c r="C86" s="8">
        <v>183</v>
      </c>
    </row>
    <row r="87" spans="2:3" x14ac:dyDescent="0.2">
      <c r="B87" s="8">
        <v>236</v>
      </c>
      <c r="C87" s="8">
        <v>309</v>
      </c>
    </row>
    <row r="88" spans="2:3" x14ac:dyDescent="0.2">
      <c r="B88" s="8">
        <v>143</v>
      </c>
      <c r="C88" s="8">
        <v>178</v>
      </c>
    </row>
    <row r="89" spans="2:3" x14ac:dyDescent="0.2">
      <c r="B89" s="8">
        <v>354</v>
      </c>
      <c r="C89" s="8">
        <v>458</v>
      </c>
    </row>
    <row r="90" spans="2:3" x14ac:dyDescent="0.2">
      <c r="B90" s="8">
        <v>214</v>
      </c>
      <c r="C90" s="8">
        <v>234</v>
      </c>
    </row>
    <row r="91" spans="2:3" x14ac:dyDescent="0.2">
      <c r="B91" s="8">
        <v>225</v>
      </c>
      <c r="C91" s="8">
        <v>306</v>
      </c>
    </row>
    <row r="92" spans="2:3" x14ac:dyDescent="0.2">
      <c r="B92" s="8">
        <v>261</v>
      </c>
      <c r="C92" s="8">
        <v>400</v>
      </c>
    </row>
    <row r="93" spans="2:3" x14ac:dyDescent="0.2">
      <c r="B93" s="8">
        <v>277</v>
      </c>
      <c r="C93" s="8">
        <v>337</v>
      </c>
    </row>
    <row r="94" spans="2:3" x14ac:dyDescent="0.2">
      <c r="B94" s="8">
        <v>282</v>
      </c>
      <c r="C94" s="8">
        <v>325</v>
      </c>
    </row>
    <row r="95" spans="2:3" x14ac:dyDescent="0.2">
      <c r="B95" s="8">
        <v>322</v>
      </c>
      <c r="C95" s="8">
        <v>329</v>
      </c>
    </row>
    <row r="96" spans="2:3" x14ac:dyDescent="0.2">
      <c r="B96" s="8">
        <v>326</v>
      </c>
      <c r="C96" s="8">
        <v>369</v>
      </c>
    </row>
    <row r="97" spans="2:3" x14ac:dyDescent="0.2">
      <c r="B97" s="8">
        <v>421</v>
      </c>
      <c r="C97" s="8">
        <v>457</v>
      </c>
    </row>
    <row r="98" spans="2:3" x14ac:dyDescent="0.2">
      <c r="B98" s="8">
        <v>368</v>
      </c>
      <c r="C98" s="8">
        <v>421</v>
      </c>
    </row>
    <row r="99" spans="2:3" x14ac:dyDescent="0.2">
      <c r="B99" s="8">
        <v>279</v>
      </c>
      <c r="C99" s="8">
        <v>282</v>
      </c>
    </row>
    <row r="100" spans="2:3" x14ac:dyDescent="0.2">
      <c r="B100" s="8">
        <v>268</v>
      </c>
      <c r="C100" s="8">
        <v>256</v>
      </c>
    </row>
  </sheetData>
  <mergeCells count="4">
    <mergeCell ref="E5:F5"/>
    <mergeCell ref="H5:I5"/>
    <mergeCell ref="K5:L5"/>
    <mergeCell ref="N5:O5"/>
  </mergeCells>
  <pageMargins left="0.7" right="0.7" top="0.75" bottom="0.75" header="0.3" footer="0.3"/>
  <pageSetup orientation="portrait" r:id="rId1"/>
  <drawing r:id="rId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01E9B-3E68-454B-9032-6F25B64FF30C}">
  <sheetPr codeName="Sheet58">
    <tabColor rgb="FFEFE5F7"/>
  </sheetPr>
  <dimension ref="B1:O100"/>
  <sheetViews>
    <sheetView showGridLines="0" topLeftCell="Q1" workbookViewId="0">
      <selection activeCell="F6" sqref="F6"/>
    </sheetView>
  </sheetViews>
  <sheetFormatPr baseColWidth="10" defaultColWidth="8.83203125" defaultRowHeight="15" x14ac:dyDescent="0.2"/>
  <cols>
    <col min="1" max="1" width="2.83203125" customWidth="1"/>
    <col min="2" max="2" width="20.6640625" bestFit="1" customWidth="1"/>
    <col min="3" max="3" width="19.33203125" bestFit="1" customWidth="1"/>
    <col min="5" max="5" width="14.33203125" customWidth="1"/>
    <col min="6" max="6" width="9.1640625" customWidth="1"/>
    <col min="8" max="8" width="11.5" customWidth="1"/>
    <col min="14" max="14" width="16" bestFit="1" customWidth="1"/>
    <col min="15" max="15" width="11.5" customWidth="1"/>
  </cols>
  <sheetData>
    <row r="1" spans="2:15" ht="25.5" customHeight="1" x14ac:dyDescent="0.25">
      <c r="B1" s="18" t="s">
        <v>316</v>
      </c>
    </row>
    <row r="2" spans="2:15" ht="15" customHeight="1" x14ac:dyDescent="0.2">
      <c r="B2" s="30" t="s">
        <v>237</v>
      </c>
    </row>
    <row r="3" spans="2:15" ht="18" customHeight="1" x14ac:dyDescent="0.2"/>
    <row r="4" spans="2:15" x14ac:dyDescent="0.2">
      <c r="E4" s="3" t="s">
        <v>54</v>
      </c>
    </row>
    <row r="5" spans="2:15" x14ac:dyDescent="0.2">
      <c r="B5" s="43" t="s">
        <v>22</v>
      </c>
      <c r="C5" s="43" t="s">
        <v>23</v>
      </c>
      <c r="E5" s="115" t="s">
        <v>229</v>
      </c>
      <c r="F5" s="115"/>
      <c r="H5" s="115" t="s">
        <v>242</v>
      </c>
      <c r="I5" s="115"/>
      <c r="K5" s="115" t="s">
        <v>241</v>
      </c>
      <c r="L5" s="115"/>
      <c r="N5" s="115" t="s">
        <v>248</v>
      </c>
      <c r="O5" s="115"/>
    </row>
    <row r="6" spans="2:15" x14ac:dyDescent="0.2">
      <c r="B6" s="51">
        <v>252</v>
      </c>
      <c r="C6" s="51">
        <v>276</v>
      </c>
      <c r="E6" s="20" t="s">
        <v>230</v>
      </c>
      <c r="F6" s="87">
        <f>PEARSON(B6:B100,C6:C100)</f>
        <v>0.94886589689776391</v>
      </c>
      <c r="H6" s="20" t="s">
        <v>239</v>
      </c>
      <c r="I6" s="75">
        <f>INTERCEPT(C6:C100,B6:B100)</f>
        <v>41.63016671209175</v>
      </c>
      <c r="K6" s="20" t="s">
        <v>235</v>
      </c>
      <c r="L6" s="71">
        <v>250</v>
      </c>
      <c r="N6" s="58" t="s">
        <v>249</v>
      </c>
      <c r="O6" s="97" cm="1">
        <f t="array" ref="O6">SUMSQ(C6:C100-_xlfn.FORECAST.LINEAR(B6:B100,C6:C100,B6:B100))</f>
        <v>81929.289620086478</v>
      </c>
    </row>
    <row r="7" spans="2:15" x14ac:dyDescent="0.2">
      <c r="B7" s="8">
        <v>423</v>
      </c>
      <c r="C7" s="8">
        <v>410</v>
      </c>
      <c r="H7" s="20" t="s">
        <v>240</v>
      </c>
      <c r="I7" s="87">
        <f>SLOPE(C6:C100,B6:B100)</f>
        <v>1.0325625976197308</v>
      </c>
      <c r="K7" s="20" t="s">
        <v>236</v>
      </c>
      <c r="L7" s="72">
        <f>_xlfn.FORECAST.LINEAR(L6,C6:C100,B6:B100)</f>
        <v>299.77081611702442</v>
      </c>
      <c r="N7" s="58" t="s">
        <v>250</v>
      </c>
      <c r="O7" s="97" cm="1">
        <f t="array" ref="O7">SUMSQ(C6:C100-AVERAGE(C6:C100))</f>
        <v>822141.53684210498</v>
      </c>
    </row>
    <row r="8" spans="2:15" x14ac:dyDescent="0.2">
      <c r="B8" s="8">
        <v>101</v>
      </c>
      <c r="C8" s="8">
        <v>119</v>
      </c>
      <c r="N8" s="20" t="s">
        <v>251</v>
      </c>
      <c r="O8" s="87">
        <f>RSQ(C6:C100,B6:B100)</f>
        <v>0.90034649029559788</v>
      </c>
    </row>
    <row r="9" spans="2:15" x14ac:dyDescent="0.2">
      <c r="B9" s="8">
        <v>288</v>
      </c>
      <c r="C9" s="8">
        <v>334</v>
      </c>
      <c r="N9" s="58" t="s">
        <v>254</v>
      </c>
      <c r="O9" s="97">
        <f>O6/(COUNT(C6:C100)-1-1)</f>
        <v>880.96010344179012</v>
      </c>
    </row>
    <row r="10" spans="2:15" x14ac:dyDescent="0.2">
      <c r="B10" s="8">
        <v>248</v>
      </c>
      <c r="C10" s="8">
        <v>252</v>
      </c>
      <c r="N10" s="20" t="s">
        <v>146</v>
      </c>
      <c r="O10" s="75">
        <f>STEYX(C6:C100,B6:B100)</f>
        <v>29.680972077103366</v>
      </c>
    </row>
    <row r="11" spans="2:15" x14ac:dyDescent="0.2">
      <c r="B11" s="8">
        <v>145</v>
      </c>
      <c r="C11" s="8">
        <v>209</v>
      </c>
      <c r="N11" s="20" t="s">
        <v>143</v>
      </c>
      <c r="O11" s="71">
        <v>0.05</v>
      </c>
    </row>
    <row r="12" spans="2:15" x14ac:dyDescent="0.2">
      <c r="B12" s="8">
        <v>401</v>
      </c>
      <c r="C12" s="8">
        <v>462</v>
      </c>
      <c r="N12" s="58" t="s">
        <v>253</v>
      </c>
      <c r="O12" s="97">
        <f>O7-O6/1</f>
        <v>740212.24722201854</v>
      </c>
    </row>
    <row r="13" spans="2:15" x14ac:dyDescent="0.2">
      <c r="B13" s="8">
        <v>287</v>
      </c>
      <c r="C13" s="8">
        <v>342</v>
      </c>
      <c r="N13" s="20" t="s">
        <v>252</v>
      </c>
      <c r="O13" s="75">
        <f>O12/O9</f>
        <v>840.23356373360264</v>
      </c>
    </row>
    <row r="14" spans="2:15" x14ac:dyDescent="0.2">
      <c r="B14" s="8">
        <v>275</v>
      </c>
      <c r="C14" s="8">
        <v>347</v>
      </c>
      <c r="N14" s="20" t="s">
        <v>207</v>
      </c>
      <c r="O14" s="87">
        <f>_xlfn.F.DIST.RT(O13,1,COUNTA(C6:C100)-1-1)</f>
        <v>2.3373706863266021E-48</v>
      </c>
    </row>
    <row r="15" spans="2:15" x14ac:dyDescent="0.2">
      <c r="B15" s="8">
        <v>254</v>
      </c>
      <c r="C15" s="8">
        <v>313</v>
      </c>
    </row>
    <row r="16" spans="2:15" x14ac:dyDescent="0.2">
      <c r="B16" s="8">
        <v>182</v>
      </c>
      <c r="C16" s="8">
        <v>232</v>
      </c>
    </row>
    <row r="17" spans="2:3" x14ac:dyDescent="0.2">
      <c r="B17" s="8">
        <v>117</v>
      </c>
      <c r="C17" s="8">
        <v>163</v>
      </c>
    </row>
    <row r="18" spans="2:3" x14ac:dyDescent="0.2">
      <c r="B18" s="8">
        <v>130</v>
      </c>
      <c r="C18" s="8">
        <v>119</v>
      </c>
    </row>
    <row r="19" spans="2:3" x14ac:dyDescent="0.2">
      <c r="B19" s="8">
        <v>219</v>
      </c>
      <c r="C19" s="8">
        <v>304</v>
      </c>
    </row>
    <row r="20" spans="2:3" x14ac:dyDescent="0.2">
      <c r="B20" s="8">
        <v>152</v>
      </c>
      <c r="C20" s="8">
        <v>211</v>
      </c>
    </row>
    <row r="21" spans="2:3" x14ac:dyDescent="0.2">
      <c r="B21" s="8">
        <v>228</v>
      </c>
      <c r="C21" s="8">
        <v>286</v>
      </c>
    </row>
    <row r="22" spans="2:3" x14ac:dyDescent="0.2">
      <c r="B22" s="8">
        <v>62</v>
      </c>
      <c r="C22" s="8">
        <v>122</v>
      </c>
    </row>
    <row r="23" spans="2:3" x14ac:dyDescent="0.2">
      <c r="B23" s="8">
        <v>393</v>
      </c>
      <c r="C23" s="8">
        <v>443</v>
      </c>
    </row>
    <row r="24" spans="2:3" x14ac:dyDescent="0.2">
      <c r="B24" s="8">
        <v>277</v>
      </c>
      <c r="C24" s="8">
        <v>366</v>
      </c>
    </row>
    <row r="25" spans="2:3" x14ac:dyDescent="0.2">
      <c r="B25" s="8">
        <v>206</v>
      </c>
      <c r="C25" s="8">
        <v>244</v>
      </c>
    </row>
    <row r="26" spans="2:3" x14ac:dyDescent="0.2">
      <c r="B26" s="8">
        <v>229</v>
      </c>
      <c r="C26" s="8">
        <v>241</v>
      </c>
    </row>
    <row r="27" spans="2:3" x14ac:dyDescent="0.2">
      <c r="B27" s="8">
        <v>182</v>
      </c>
      <c r="C27" s="8">
        <v>237</v>
      </c>
    </row>
    <row r="28" spans="2:3" x14ac:dyDescent="0.2">
      <c r="B28" s="8">
        <v>98</v>
      </c>
      <c r="C28" s="8">
        <v>122</v>
      </c>
    </row>
    <row r="29" spans="2:3" x14ac:dyDescent="0.2">
      <c r="B29" s="8">
        <v>125</v>
      </c>
      <c r="C29" s="8">
        <v>129</v>
      </c>
    </row>
    <row r="30" spans="2:3" x14ac:dyDescent="0.2">
      <c r="B30" s="8">
        <v>164</v>
      </c>
      <c r="C30" s="8">
        <v>236</v>
      </c>
    </row>
    <row r="31" spans="2:3" x14ac:dyDescent="0.2">
      <c r="B31" s="8">
        <v>186</v>
      </c>
      <c r="C31" s="8">
        <v>251</v>
      </c>
    </row>
    <row r="32" spans="2:3" x14ac:dyDescent="0.2">
      <c r="B32" s="8">
        <v>235</v>
      </c>
      <c r="C32" s="8">
        <v>283</v>
      </c>
    </row>
    <row r="33" spans="2:3" x14ac:dyDescent="0.2">
      <c r="B33" s="8">
        <v>184</v>
      </c>
      <c r="C33" s="8">
        <v>225</v>
      </c>
    </row>
    <row r="34" spans="2:3" x14ac:dyDescent="0.2">
      <c r="B34" s="8">
        <v>76</v>
      </c>
      <c r="C34" s="8">
        <v>102</v>
      </c>
    </row>
    <row r="35" spans="2:3" x14ac:dyDescent="0.2">
      <c r="B35" s="8">
        <v>126</v>
      </c>
      <c r="C35" s="8">
        <v>180</v>
      </c>
    </row>
    <row r="36" spans="2:3" x14ac:dyDescent="0.2">
      <c r="B36" s="8">
        <v>183</v>
      </c>
      <c r="C36" s="8">
        <v>247</v>
      </c>
    </row>
    <row r="37" spans="2:3" x14ac:dyDescent="0.2">
      <c r="B37" s="8">
        <v>242</v>
      </c>
      <c r="C37" s="8">
        <v>343</v>
      </c>
    </row>
    <row r="38" spans="2:3" x14ac:dyDescent="0.2">
      <c r="B38" s="8">
        <v>207</v>
      </c>
      <c r="C38" s="8">
        <v>283</v>
      </c>
    </row>
    <row r="39" spans="2:3" x14ac:dyDescent="0.2">
      <c r="B39" s="8">
        <v>181</v>
      </c>
      <c r="C39" s="8">
        <v>253</v>
      </c>
    </row>
    <row r="40" spans="2:3" x14ac:dyDescent="0.2">
      <c r="B40" s="8">
        <v>239</v>
      </c>
      <c r="C40" s="8">
        <v>263</v>
      </c>
    </row>
    <row r="41" spans="2:3" x14ac:dyDescent="0.2">
      <c r="B41" s="8">
        <v>216</v>
      </c>
      <c r="C41" s="8">
        <v>291</v>
      </c>
    </row>
    <row r="42" spans="2:3" x14ac:dyDescent="0.2">
      <c r="B42" s="8">
        <v>289</v>
      </c>
      <c r="C42" s="8">
        <v>368</v>
      </c>
    </row>
    <row r="43" spans="2:3" x14ac:dyDescent="0.2">
      <c r="B43" s="8">
        <v>213</v>
      </c>
      <c r="C43" s="8">
        <v>206</v>
      </c>
    </row>
    <row r="44" spans="2:3" x14ac:dyDescent="0.2">
      <c r="B44" s="8">
        <v>209</v>
      </c>
      <c r="C44" s="8">
        <v>231</v>
      </c>
    </row>
    <row r="45" spans="2:3" x14ac:dyDescent="0.2">
      <c r="B45" s="8">
        <v>376</v>
      </c>
      <c r="C45" s="8">
        <v>389</v>
      </c>
    </row>
    <row r="46" spans="2:3" x14ac:dyDescent="0.2">
      <c r="B46" s="8">
        <v>332</v>
      </c>
      <c r="C46" s="8">
        <v>396</v>
      </c>
    </row>
    <row r="47" spans="2:3" x14ac:dyDescent="0.2">
      <c r="B47" s="8">
        <v>249</v>
      </c>
      <c r="C47" s="8">
        <v>339</v>
      </c>
    </row>
    <row r="48" spans="2:3" x14ac:dyDescent="0.2">
      <c r="B48" s="8">
        <v>228</v>
      </c>
      <c r="C48" s="8">
        <v>286</v>
      </c>
    </row>
    <row r="49" spans="2:3" x14ac:dyDescent="0.2">
      <c r="B49" s="8">
        <v>124</v>
      </c>
      <c r="C49" s="8">
        <v>146</v>
      </c>
    </row>
    <row r="50" spans="2:3" x14ac:dyDescent="0.2">
      <c r="B50" s="8">
        <v>194</v>
      </c>
      <c r="C50" s="8">
        <v>315</v>
      </c>
    </row>
    <row r="51" spans="2:3" x14ac:dyDescent="0.2">
      <c r="B51" s="8">
        <v>157</v>
      </c>
      <c r="C51" s="8">
        <v>183</v>
      </c>
    </row>
    <row r="52" spans="2:3" x14ac:dyDescent="0.2">
      <c r="B52" s="8">
        <v>402</v>
      </c>
      <c r="C52" s="8">
        <v>481</v>
      </c>
    </row>
    <row r="53" spans="2:3" x14ac:dyDescent="0.2">
      <c r="B53" s="8">
        <v>323</v>
      </c>
      <c r="C53" s="8">
        <v>349</v>
      </c>
    </row>
    <row r="54" spans="2:3" x14ac:dyDescent="0.2">
      <c r="B54" s="8">
        <v>181</v>
      </c>
      <c r="C54" s="8">
        <v>225</v>
      </c>
    </row>
    <row r="55" spans="2:3" x14ac:dyDescent="0.2">
      <c r="B55" s="8">
        <v>157</v>
      </c>
      <c r="C55" s="8">
        <v>217</v>
      </c>
    </row>
    <row r="56" spans="2:3" x14ac:dyDescent="0.2">
      <c r="B56" s="8">
        <v>266</v>
      </c>
      <c r="C56" s="8">
        <v>353</v>
      </c>
    </row>
    <row r="57" spans="2:3" x14ac:dyDescent="0.2">
      <c r="B57" s="8">
        <v>268</v>
      </c>
      <c r="C57" s="8">
        <v>314</v>
      </c>
    </row>
    <row r="58" spans="2:3" x14ac:dyDescent="0.2">
      <c r="B58" s="8">
        <v>167</v>
      </c>
      <c r="C58" s="8">
        <v>247</v>
      </c>
    </row>
    <row r="59" spans="2:3" x14ac:dyDescent="0.2">
      <c r="B59" s="8">
        <v>342</v>
      </c>
      <c r="C59" s="8">
        <v>410</v>
      </c>
    </row>
    <row r="60" spans="2:3" x14ac:dyDescent="0.2">
      <c r="B60" s="8">
        <v>349</v>
      </c>
      <c r="C60" s="8">
        <v>395</v>
      </c>
    </row>
    <row r="61" spans="2:3" x14ac:dyDescent="0.2">
      <c r="B61" s="8">
        <v>340</v>
      </c>
      <c r="C61" s="8">
        <v>416</v>
      </c>
    </row>
    <row r="62" spans="2:3" x14ac:dyDescent="0.2">
      <c r="B62" s="8">
        <v>227</v>
      </c>
      <c r="C62" s="8">
        <v>342</v>
      </c>
    </row>
    <row r="63" spans="2:3" x14ac:dyDescent="0.2">
      <c r="B63" s="8">
        <v>409</v>
      </c>
      <c r="C63" s="8">
        <v>446</v>
      </c>
    </row>
    <row r="64" spans="2:3" x14ac:dyDescent="0.2">
      <c r="B64" s="8">
        <v>400</v>
      </c>
      <c r="C64" s="8">
        <v>477</v>
      </c>
    </row>
    <row r="65" spans="2:3" x14ac:dyDescent="0.2">
      <c r="B65" s="8">
        <v>374</v>
      </c>
      <c r="C65" s="8">
        <v>444</v>
      </c>
    </row>
    <row r="66" spans="2:3" x14ac:dyDescent="0.2">
      <c r="B66" s="8">
        <v>255</v>
      </c>
      <c r="C66" s="8">
        <v>351</v>
      </c>
    </row>
    <row r="67" spans="2:3" x14ac:dyDescent="0.2">
      <c r="B67" s="8">
        <v>146</v>
      </c>
      <c r="C67" s="8">
        <v>165</v>
      </c>
    </row>
    <row r="68" spans="2:3" x14ac:dyDescent="0.2">
      <c r="B68" s="8">
        <v>248</v>
      </c>
      <c r="C68" s="8">
        <v>317</v>
      </c>
    </row>
    <row r="69" spans="2:3" x14ac:dyDescent="0.2">
      <c r="B69" s="8">
        <v>198</v>
      </c>
      <c r="C69" s="8">
        <v>250</v>
      </c>
    </row>
    <row r="70" spans="2:3" x14ac:dyDescent="0.2">
      <c r="B70" s="8">
        <v>210</v>
      </c>
      <c r="C70" s="8">
        <v>217</v>
      </c>
    </row>
    <row r="71" spans="2:3" x14ac:dyDescent="0.2">
      <c r="B71" s="8">
        <v>107</v>
      </c>
      <c r="C71" s="8">
        <v>138</v>
      </c>
    </row>
    <row r="72" spans="2:3" x14ac:dyDescent="0.2">
      <c r="B72" s="8">
        <v>239</v>
      </c>
      <c r="C72" s="8">
        <v>302</v>
      </c>
    </row>
    <row r="73" spans="2:3" x14ac:dyDescent="0.2">
      <c r="B73" s="8">
        <v>287</v>
      </c>
      <c r="C73" s="8">
        <v>311</v>
      </c>
    </row>
    <row r="74" spans="2:3" x14ac:dyDescent="0.2">
      <c r="B74" s="8">
        <v>340</v>
      </c>
      <c r="C74" s="8">
        <v>373</v>
      </c>
    </row>
    <row r="75" spans="2:3" x14ac:dyDescent="0.2">
      <c r="B75" s="8">
        <v>155</v>
      </c>
      <c r="C75" s="8">
        <v>196</v>
      </c>
    </row>
    <row r="76" spans="2:3" x14ac:dyDescent="0.2">
      <c r="B76" s="8">
        <v>263</v>
      </c>
      <c r="C76" s="8">
        <v>306</v>
      </c>
    </row>
    <row r="77" spans="2:3" x14ac:dyDescent="0.2">
      <c r="B77" s="8">
        <v>265</v>
      </c>
      <c r="C77" s="8">
        <v>302</v>
      </c>
    </row>
    <row r="78" spans="2:3" x14ac:dyDescent="0.2">
      <c r="B78" s="8">
        <v>249</v>
      </c>
      <c r="C78" s="8">
        <v>278</v>
      </c>
    </row>
    <row r="79" spans="2:3" x14ac:dyDescent="0.2">
      <c r="B79" s="8">
        <v>377</v>
      </c>
      <c r="C79" s="8">
        <v>429</v>
      </c>
    </row>
    <row r="80" spans="2:3" x14ac:dyDescent="0.2">
      <c r="B80" s="8">
        <v>301</v>
      </c>
      <c r="C80" s="8">
        <v>338</v>
      </c>
    </row>
    <row r="81" spans="2:3" x14ac:dyDescent="0.2">
      <c r="B81" s="8">
        <v>242</v>
      </c>
      <c r="C81" s="8">
        <v>261</v>
      </c>
    </row>
    <row r="82" spans="2:3" x14ac:dyDescent="0.2">
      <c r="B82" s="8">
        <v>211</v>
      </c>
      <c r="C82" s="8">
        <v>256</v>
      </c>
    </row>
    <row r="83" spans="2:3" x14ac:dyDescent="0.2">
      <c r="B83" s="8">
        <v>160</v>
      </c>
      <c r="C83" s="8">
        <v>183</v>
      </c>
    </row>
    <row r="84" spans="2:3" x14ac:dyDescent="0.2">
      <c r="B84" s="8">
        <v>218</v>
      </c>
      <c r="C84" s="8">
        <v>274</v>
      </c>
    </row>
    <row r="85" spans="2:3" x14ac:dyDescent="0.2">
      <c r="B85" s="8">
        <v>133</v>
      </c>
      <c r="C85" s="8">
        <v>182</v>
      </c>
    </row>
    <row r="86" spans="2:3" x14ac:dyDescent="0.2">
      <c r="B86" s="8">
        <v>122</v>
      </c>
      <c r="C86" s="8">
        <v>183</v>
      </c>
    </row>
    <row r="87" spans="2:3" x14ac:dyDescent="0.2">
      <c r="B87" s="8">
        <v>236</v>
      </c>
      <c r="C87" s="8">
        <v>309</v>
      </c>
    </row>
    <row r="88" spans="2:3" x14ac:dyDescent="0.2">
      <c r="B88" s="8">
        <v>143</v>
      </c>
      <c r="C88" s="8">
        <v>178</v>
      </c>
    </row>
    <row r="89" spans="2:3" x14ac:dyDescent="0.2">
      <c r="B89" s="8">
        <v>354</v>
      </c>
      <c r="C89" s="8">
        <v>458</v>
      </c>
    </row>
    <row r="90" spans="2:3" x14ac:dyDescent="0.2">
      <c r="B90" s="8">
        <v>214</v>
      </c>
      <c r="C90" s="8">
        <v>234</v>
      </c>
    </row>
    <row r="91" spans="2:3" x14ac:dyDescent="0.2">
      <c r="B91" s="8">
        <v>225</v>
      </c>
      <c r="C91" s="8">
        <v>306</v>
      </c>
    </row>
    <row r="92" spans="2:3" x14ac:dyDescent="0.2">
      <c r="B92" s="8">
        <v>261</v>
      </c>
      <c r="C92" s="8">
        <v>400</v>
      </c>
    </row>
    <row r="93" spans="2:3" x14ac:dyDescent="0.2">
      <c r="B93" s="8">
        <v>277</v>
      </c>
      <c r="C93" s="8">
        <v>337</v>
      </c>
    </row>
    <row r="94" spans="2:3" x14ac:dyDescent="0.2">
      <c r="B94" s="8">
        <v>282</v>
      </c>
      <c r="C94" s="8">
        <v>325</v>
      </c>
    </row>
    <row r="95" spans="2:3" x14ac:dyDescent="0.2">
      <c r="B95" s="8">
        <v>322</v>
      </c>
      <c r="C95" s="8">
        <v>329</v>
      </c>
    </row>
    <row r="96" spans="2:3" x14ac:dyDescent="0.2">
      <c r="B96" s="8">
        <v>326</v>
      </c>
      <c r="C96" s="8">
        <v>369</v>
      </c>
    </row>
    <row r="97" spans="2:3" x14ac:dyDescent="0.2">
      <c r="B97" s="8">
        <v>421</v>
      </c>
      <c r="C97" s="8">
        <v>457</v>
      </c>
    </row>
    <row r="98" spans="2:3" x14ac:dyDescent="0.2">
      <c r="B98" s="8">
        <v>368</v>
      </c>
      <c r="C98" s="8">
        <v>421</v>
      </c>
    </row>
    <row r="99" spans="2:3" x14ac:dyDescent="0.2">
      <c r="B99" s="8">
        <v>279</v>
      </c>
      <c r="C99" s="8">
        <v>282</v>
      </c>
    </row>
    <row r="100" spans="2:3" x14ac:dyDescent="0.2">
      <c r="B100" s="8">
        <v>268</v>
      </c>
      <c r="C100" s="8">
        <v>256</v>
      </c>
    </row>
  </sheetData>
  <mergeCells count="4">
    <mergeCell ref="E5:F5"/>
    <mergeCell ref="H5:I5"/>
    <mergeCell ref="K5:L5"/>
    <mergeCell ref="N5:O5"/>
  </mergeCells>
  <pageMargins left="0.7" right="0.7" top="0.75" bottom="0.75" header="0.3" footer="0.3"/>
  <pageSetup orientation="portrait" r:id="rId1"/>
  <drawing r:id="rId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5029D-2F8E-4C10-996B-8C9FC65C4BE7}">
  <sheetPr codeName="Sheet57">
    <tabColor rgb="FFE2D0F0"/>
  </sheetPr>
  <dimension ref="B1:O100"/>
  <sheetViews>
    <sheetView showGridLines="0" topLeftCell="E1" workbookViewId="0">
      <selection activeCell="O14" sqref="O14"/>
    </sheetView>
  </sheetViews>
  <sheetFormatPr baseColWidth="10" defaultColWidth="8.83203125" defaultRowHeight="15" x14ac:dyDescent="0.2"/>
  <cols>
    <col min="1" max="1" width="2.83203125" customWidth="1"/>
    <col min="2" max="2" width="16" bestFit="1" customWidth="1"/>
    <col min="3" max="3" width="26.33203125" bestFit="1" customWidth="1"/>
    <col min="5" max="5" width="12.83203125" customWidth="1"/>
    <col min="6" max="6" width="11.5" customWidth="1"/>
    <col min="8" max="8" width="11.5" customWidth="1"/>
    <col min="11" max="11" width="18.5" customWidth="1"/>
    <col min="14" max="14" width="16" bestFit="1" customWidth="1"/>
    <col min="15" max="15" width="11.5" customWidth="1"/>
  </cols>
  <sheetData>
    <row r="1" spans="2:15" ht="25.5" customHeight="1" x14ac:dyDescent="0.25">
      <c r="B1" s="18" t="s">
        <v>246</v>
      </c>
    </row>
    <row r="2" spans="2:15" ht="15" customHeight="1" x14ac:dyDescent="0.2">
      <c r="B2" s="30" t="s">
        <v>247</v>
      </c>
    </row>
    <row r="3" spans="2:15" ht="18" customHeight="1" x14ac:dyDescent="0.2"/>
    <row r="4" spans="2:15" x14ac:dyDescent="0.2">
      <c r="E4" s="3" t="s">
        <v>54</v>
      </c>
    </row>
    <row r="5" spans="2:15" x14ac:dyDescent="0.2">
      <c r="B5" s="43" t="s">
        <v>76</v>
      </c>
      <c r="C5" s="42" t="s">
        <v>243</v>
      </c>
      <c r="E5" s="115" t="s">
        <v>229</v>
      </c>
      <c r="F5" s="115"/>
      <c r="H5" s="115" t="s">
        <v>242</v>
      </c>
      <c r="I5" s="115"/>
      <c r="K5" s="115" t="s">
        <v>241</v>
      </c>
      <c r="L5" s="115"/>
      <c r="N5" s="115" t="s">
        <v>248</v>
      </c>
      <c r="O5" s="115"/>
    </row>
    <row r="6" spans="2:15" x14ac:dyDescent="0.2">
      <c r="B6" s="51">
        <v>68.400000000000006</v>
      </c>
      <c r="C6" s="51">
        <v>24</v>
      </c>
      <c r="E6" s="20" t="s">
        <v>230</v>
      </c>
      <c r="F6" s="87">
        <f>PEARSON(C6:C100,B6:B100)</f>
        <v>0.92556272300776632</v>
      </c>
      <c r="H6" s="20" t="s">
        <v>239</v>
      </c>
      <c r="I6" s="75">
        <f>INTERCEPT(C6:C100,B6:B100)</f>
        <v>-223.4190539652177</v>
      </c>
      <c r="K6" s="20" t="s">
        <v>231</v>
      </c>
      <c r="L6" s="71">
        <v>90</v>
      </c>
      <c r="N6" s="58" t="s">
        <v>249</v>
      </c>
      <c r="O6" s="97" cm="1">
        <f t="array" ref="O6">SUMSQ(C6:C100-_xlfn.FORECAST.LINEAR(B6:B100,C6:C100,B6:B100))</f>
        <v>11848.737688059424</v>
      </c>
    </row>
    <row r="7" spans="2:15" x14ac:dyDescent="0.2">
      <c r="B7" s="8">
        <v>62.1</v>
      </c>
      <c r="C7" s="51">
        <v>-13</v>
      </c>
      <c r="H7" s="20" t="s">
        <v>240</v>
      </c>
      <c r="I7" s="87">
        <f>SLOPE(C6:C100,B6:B100)</f>
        <v>3.6394257812138537</v>
      </c>
      <c r="K7" s="20" t="s">
        <v>255</v>
      </c>
      <c r="L7" s="72">
        <f>_xlfn.FORECAST.LINEAR(L6,C6:C100,B6:B100)</f>
        <v>104.12926634402913</v>
      </c>
      <c r="N7" s="58" t="s">
        <v>250</v>
      </c>
      <c r="O7" s="97" cm="1">
        <f t="array" ref="O7">SUMSQ(C6:C100-AVERAGE(C6:C100))</f>
        <v>82665.431578947362</v>
      </c>
    </row>
    <row r="8" spans="2:15" x14ac:dyDescent="0.2">
      <c r="B8" s="8">
        <v>70.2</v>
      </c>
      <c r="C8" s="51">
        <v>18</v>
      </c>
      <c r="N8" s="20" t="s">
        <v>251</v>
      </c>
      <c r="O8" s="87">
        <f>RSQ(C6:C100,B6:B100)</f>
        <v>0.85666635422155113</v>
      </c>
    </row>
    <row r="9" spans="2:15" x14ac:dyDescent="0.2">
      <c r="B9" s="8">
        <v>75.099999999999994</v>
      </c>
      <c r="C9" s="51">
        <v>46</v>
      </c>
      <c r="K9" s="20"/>
      <c r="L9" s="21"/>
      <c r="N9" s="58" t="s">
        <v>254</v>
      </c>
      <c r="O9" s="97">
        <f>O6/COUNT(C6:C100)-1-1</f>
        <v>122.72355461115183</v>
      </c>
    </row>
    <row r="10" spans="2:15" x14ac:dyDescent="0.2">
      <c r="B10" s="8">
        <v>60.9</v>
      </c>
      <c r="C10" s="51">
        <v>4</v>
      </c>
      <c r="N10" s="20" t="s">
        <v>146</v>
      </c>
      <c r="O10" s="75">
        <f>STEYX(C6:C100,B6:B100)</f>
        <v>11.287416958367267</v>
      </c>
    </row>
    <row r="11" spans="2:15" x14ac:dyDescent="0.2">
      <c r="B11" s="8">
        <v>74.5</v>
      </c>
      <c r="C11" s="51">
        <v>64</v>
      </c>
      <c r="N11" s="20" t="s">
        <v>143</v>
      </c>
      <c r="O11" s="71">
        <v>0.05</v>
      </c>
    </row>
    <row r="12" spans="2:15" x14ac:dyDescent="0.2">
      <c r="B12" s="8">
        <v>76.400000000000006</v>
      </c>
      <c r="C12" s="51">
        <v>61</v>
      </c>
      <c r="N12" s="58" t="s">
        <v>253</v>
      </c>
      <c r="O12" s="97">
        <f>O7-O6/1</f>
        <v>70816.693890887938</v>
      </c>
    </row>
    <row r="13" spans="2:15" x14ac:dyDescent="0.2">
      <c r="B13" s="8">
        <v>82.6</v>
      </c>
      <c r="C13" s="51">
        <v>55</v>
      </c>
      <c r="N13" s="20" t="s">
        <v>252</v>
      </c>
      <c r="O13" s="75">
        <f>O12/O9</f>
        <v>577.04239512349375</v>
      </c>
    </row>
    <row r="14" spans="2:15" x14ac:dyDescent="0.2">
      <c r="B14" s="8">
        <v>76.900000000000006</v>
      </c>
      <c r="C14" s="51">
        <v>72</v>
      </c>
      <c r="N14" s="20" t="s">
        <v>207</v>
      </c>
      <c r="O14" s="87">
        <f>_xlfn.F.DIST.RT(O13,1,COUNTA('Model Evaluation'!C6:C100)-1-1)</f>
        <v>1.1720486942966579E-41</v>
      </c>
    </row>
    <row r="15" spans="2:15" x14ac:dyDescent="0.2">
      <c r="B15" s="8">
        <v>83.3</v>
      </c>
      <c r="C15" s="51">
        <v>59</v>
      </c>
    </row>
    <row r="16" spans="2:15" x14ac:dyDescent="0.2">
      <c r="B16" s="8">
        <v>75.8</v>
      </c>
      <c r="C16" s="51">
        <v>50</v>
      </c>
    </row>
    <row r="17" spans="2:3" x14ac:dyDescent="0.2">
      <c r="B17" s="8">
        <v>76</v>
      </c>
      <c r="C17" s="51">
        <v>46</v>
      </c>
    </row>
    <row r="18" spans="2:3" x14ac:dyDescent="0.2">
      <c r="B18" s="8">
        <v>62.8</v>
      </c>
      <c r="C18" s="51">
        <v>-11</v>
      </c>
    </row>
    <row r="19" spans="2:3" x14ac:dyDescent="0.2">
      <c r="B19" s="8">
        <v>82.8</v>
      </c>
      <c r="C19" s="51">
        <v>85</v>
      </c>
    </row>
    <row r="20" spans="2:3" x14ac:dyDescent="0.2">
      <c r="B20" s="8">
        <v>76</v>
      </c>
      <c r="C20" s="51">
        <v>59</v>
      </c>
    </row>
    <row r="21" spans="2:3" x14ac:dyDescent="0.2">
      <c r="B21" s="8">
        <v>76.900000000000006</v>
      </c>
      <c r="C21" s="51">
        <v>58</v>
      </c>
    </row>
    <row r="22" spans="2:3" x14ac:dyDescent="0.2">
      <c r="B22" s="8">
        <v>75.8</v>
      </c>
      <c r="C22" s="51">
        <v>60</v>
      </c>
    </row>
    <row r="23" spans="2:3" x14ac:dyDescent="0.2">
      <c r="B23" s="8">
        <v>78</v>
      </c>
      <c r="C23" s="51">
        <v>50</v>
      </c>
    </row>
    <row r="24" spans="2:3" x14ac:dyDescent="0.2">
      <c r="B24" s="8">
        <v>82.4</v>
      </c>
      <c r="C24" s="51">
        <v>89</v>
      </c>
    </row>
    <row r="25" spans="2:3" x14ac:dyDescent="0.2">
      <c r="B25" s="8">
        <v>76.2</v>
      </c>
      <c r="C25" s="51">
        <v>38</v>
      </c>
    </row>
    <row r="26" spans="2:3" x14ac:dyDescent="0.2">
      <c r="B26" s="8">
        <v>62.5</v>
      </c>
      <c r="C26" s="51">
        <v>12</v>
      </c>
    </row>
    <row r="27" spans="2:3" x14ac:dyDescent="0.2">
      <c r="B27" s="8">
        <v>78</v>
      </c>
      <c r="C27" s="51">
        <v>55</v>
      </c>
    </row>
    <row r="28" spans="2:3" x14ac:dyDescent="0.2">
      <c r="B28" s="8">
        <v>66.5</v>
      </c>
      <c r="C28" s="51">
        <v>24</v>
      </c>
    </row>
    <row r="29" spans="2:3" x14ac:dyDescent="0.2">
      <c r="B29" s="8">
        <v>63.5</v>
      </c>
      <c r="C29" s="51">
        <v>4</v>
      </c>
    </row>
    <row r="30" spans="2:3" x14ac:dyDescent="0.2">
      <c r="B30" s="8">
        <v>82.6</v>
      </c>
      <c r="C30" s="51">
        <v>72</v>
      </c>
    </row>
    <row r="31" spans="2:3" x14ac:dyDescent="0.2">
      <c r="B31" s="8">
        <v>79.2</v>
      </c>
      <c r="C31" s="51">
        <v>65</v>
      </c>
    </row>
    <row r="32" spans="2:3" x14ac:dyDescent="0.2">
      <c r="B32" s="8">
        <v>75</v>
      </c>
      <c r="C32" s="51">
        <v>48</v>
      </c>
    </row>
    <row r="33" spans="2:3" x14ac:dyDescent="0.2">
      <c r="B33" s="8">
        <v>74.400000000000006</v>
      </c>
      <c r="C33" s="51">
        <v>41</v>
      </c>
    </row>
    <row r="34" spans="2:3" x14ac:dyDescent="0.2">
      <c r="B34" s="8">
        <v>67.900000000000006</v>
      </c>
      <c r="C34" s="51">
        <v>26</v>
      </c>
    </row>
    <row r="35" spans="2:3" x14ac:dyDescent="0.2">
      <c r="B35" s="8">
        <v>76.8</v>
      </c>
      <c r="C35" s="51">
        <v>54</v>
      </c>
    </row>
    <row r="36" spans="2:3" x14ac:dyDescent="0.2">
      <c r="B36" s="8">
        <v>83</v>
      </c>
      <c r="C36" s="51">
        <v>64</v>
      </c>
    </row>
    <row r="37" spans="2:3" x14ac:dyDescent="0.2">
      <c r="B37" s="8">
        <v>88.9</v>
      </c>
      <c r="C37" s="51">
        <v>101</v>
      </c>
    </row>
    <row r="38" spans="2:3" x14ac:dyDescent="0.2">
      <c r="B38" s="8">
        <v>76.5</v>
      </c>
      <c r="C38" s="51">
        <v>76</v>
      </c>
    </row>
    <row r="39" spans="2:3" x14ac:dyDescent="0.2">
      <c r="B39" s="8">
        <v>79.900000000000006</v>
      </c>
      <c r="C39" s="51">
        <v>72</v>
      </c>
    </row>
    <row r="40" spans="2:3" x14ac:dyDescent="0.2">
      <c r="B40" s="8">
        <v>70.400000000000006</v>
      </c>
      <c r="C40" s="51">
        <v>24</v>
      </c>
    </row>
    <row r="41" spans="2:3" x14ac:dyDescent="0.2">
      <c r="B41" s="8">
        <v>83.4</v>
      </c>
      <c r="C41" s="51">
        <v>75</v>
      </c>
    </row>
    <row r="42" spans="2:3" x14ac:dyDescent="0.2">
      <c r="B42" s="8">
        <v>79.2</v>
      </c>
      <c r="C42" s="51">
        <v>79</v>
      </c>
    </row>
    <row r="43" spans="2:3" x14ac:dyDescent="0.2">
      <c r="B43" s="8">
        <v>61.2</v>
      </c>
      <c r="C43" s="51">
        <v>-7</v>
      </c>
    </row>
    <row r="44" spans="2:3" x14ac:dyDescent="0.2">
      <c r="B44" s="8">
        <v>64</v>
      </c>
      <c r="C44" s="51">
        <v>22</v>
      </c>
    </row>
    <row r="45" spans="2:3" x14ac:dyDescent="0.2">
      <c r="B45" s="8">
        <v>68</v>
      </c>
      <c r="C45" s="51">
        <v>13</v>
      </c>
    </row>
    <row r="46" spans="2:3" x14ac:dyDescent="0.2">
      <c r="B46" s="8">
        <v>78.5</v>
      </c>
      <c r="C46" s="51">
        <v>64</v>
      </c>
    </row>
    <row r="47" spans="2:3" x14ac:dyDescent="0.2">
      <c r="B47" s="8">
        <v>83</v>
      </c>
      <c r="C47" s="51">
        <v>90</v>
      </c>
    </row>
    <row r="48" spans="2:3" x14ac:dyDescent="0.2">
      <c r="B48" s="8">
        <v>75.2</v>
      </c>
      <c r="C48" s="51">
        <v>58</v>
      </c>
    </row>
    <row r="49" spans="2:3" x14ac:dyDescent="0.2">
      <c r="B49" s="8">
        <v>68.099999999999994</v>
      </c>
      <c r="C49" s="51">
        <v>22</v>
      </c>
    </row>
    <row r="50" spans="2:3" x14ac:dyDescent="0.2">
      <c r="B50" s="8">
        <v>93.6</v>
      </c>
      <c r="C50" s="51">
        <v>121</v>
      </c>
    </row>
    <row r="51" spans="2:3" x14ac:dyDescent="0.2">
      <c r="B51" s="8">
        <v>75.599999999999994</v>
      </c>
      <c r="C51" s="51">
        <v>26</v>
      </c>
    </row>
    <row r="52" spans="2:3" x14ac:dyDescent="0.2">
      <c r="B52" s="8">
        <v>82.3</v>
      </c>
      <c r="C52" s="51">
        <v>79</v>
      </c>
    </row>
    <row r="53" spans="2:3" x14ac:dyDescent="0.2">
      <c r="B53" s="8">
        <v>71.400000000000006</v>
      </c>
      <c r="C53" s="51">
        <v>26</v>
      </c>
    </row>
    <row r="54" spans="2:3" x14ac:dyDescent="0.2">
      <c r="B54" s="8">
        <v>71.900000000000006</v>
      </c>
      <c r="C54" s="51">
        <v>44</v>
      </c>
    </row>
    <row r="55" spans="2:3" x14ac:dyDescent="0.2">
      <c r="B55" s="8">
        <v>79.099999999999994</v>
      </c>
      <c r="C55" s="51">
        <v>60</v>
      </c>
    </row>
    <row r="56" spans="2:3" x14ac:dyDescent="0.2">
      <c r="B56" s="8">
        <v>88.7</v>
      </c>
      <c r="C56" s="51">
        <v>87</v>
      </c>
    </row>
    <row r="57" spans="2:3" x14ac:dyDescent="0.2">
      <c r="B57" s="8">
        <v>69.400000000000006</v>
      </c>
      <c r="C57" s="51">
        <v>46</v>
      </c>
    </row>
    <row r="58" spans="2:3" x14ac:dyDescent="0.2">
      <c r="B58" s="8">
        <v>80.3</v>
      </c>
      <c r="C58" s="51">
        <v>80</v>
      </c>
    </row>
    <row r="59" spans="2:3" x14ac:dyDescent="0.2">
      <c r="B59" s="8">
        <v>83</v>
      </c>
      <c r="C59" s="51">
        <v>68</v>
      </c>
    </row>
    <row r="60" spans="2:3" x14ac:dyDescent="0.2">
      <c r="B60" s="8">
        <v>74.099999999999994</v>
      </c>
      <c r="C60" s="51">
        <v>46</v>
      </c>
    </row>
    <row r="61" spans="2:3" x14ac:dyDescent="0.2">
      <c r="B61" s="8">
        <v>79.400000000000006</v>
      </c>
      <c r="C61" s="51">
        <v>76</v>
      </c>
    </row>
    <row r="62" spans="2:3" x14ac:dyDescent="0.2">
      <c r="B62" s="8">
        <v>88.1</v>
      </c>
      <c r="C62" s="51">
        <v>115</v>
      </c>
    </row>
    <row r="63" spans="2:3" x14ac:dyDescent="0.2">
      <c r="B63" s="8">
        <v>74.599999999999994</v>
      </c>
      <c r="C63" s="51">
        <v>37</v>
      </c>
    </row>
    <row r="64" spans="2:3" x14ac:dyDescent="0.2">
      <c r="B64" s="8">
        <v>87.1</v>
      </c>
      <c r="C64" s="51">
        <v>77</v>
      </c>
    </row>
    <row r="65" spans="2:3" x14ac:dyDescent="0.2">
      <c r="B65" s="8">
        <v>79.7</v>
      </c>
      <c r="C65" s="51">
        <v>70</v>
      </c>
    </row>
    <row r="66" spans="2:3" x14ac:dyDescent="0.2">
      <c r="B66" s="8">
        <v>82.1</v>
      </c>
      <c r="C66" s="51">
        <v>96</v>
      </c>
    </row>
    <row r="67" spans="2:3" x14ac:dyDescent="0.2">
      <c r="B67" s="8">
        <v>70.2</v>
      </c>
      <c r="C67" s="51">
        <v>19</v>
      </c>
    </row>
    <row r="68" spans="2:3" x14ac:dyDescent="0.2">
      <c r="B68" s="8">
        <v>81.7</v>
      </c>
      <c r="C68" s="51">
        <v>69</v>
      </c>
    </row>
    <row r="69" spans="2:3" x14ac:dyDescent="0.2">
      <c r="B69" s="8">
        <v>76.099999999999994</v>
      </c>
      <c r="C69" s="51">
        <v>52</v>
      </c>
    </row>
    <row r="70" spans="2:3" x14ac:dyDescent="0.2">
      <c r="B70" s="8">
        <v>65.400000000000006</v>
      </c>
      <c r="C70" s="51">
        <v>7</v>
      </c>
    </row>
    <row r="71" spans="2:3" x14ac:dyDescent="0.2">
      <c r="B71" s="8">
        <v>70.099999999999994</v>
      </c>
      <c r="C71" s="51">
        <v>31</v>
      </c>
    </row>
    <row r="72" spans="2:3" x14ac:dyDescent="0.2">
      <c r="B72" s="8">
        <v>75.3</v>
      </c>
      <c r="C72" s="51">
        <v>63</v>
      </c>
    </row>
    <row r="73" spans="2:3" x14ac:dyDescent="0.2">
      <c r="B73" s="8">
        <v>68.7</v>
      </c>
      <c r="C73" s="51">
        <v>24</v>
      </c>
    </row>
    <row r="74" spans="2:3" x14ac:dyDescent="0.2">
      <c r="B74" s="8">
        <v>75.7</v>
      </c>
      <c r="C74" s="51">
        <v>33</v>
      </c>
    </row>
    <row r="75" spans="2:3" x14ac:dyDescent="0.2">
      <c r="B75" s="8">
        <v>68.7</v>
      </c>
      <c r="C75" s="51">
        <v>41</v>
      </c>
    </row>
    <row r="76" spans="2:3" x14ac:dyDescent="0.2">
      <c r="B76" s="8">
        <v>70.400000000000006</v>
      </c>
      <c r="C76" s="51">
        <v>43</v>
      </c>
    </row>
    <row r="77" spans="2:3" x14ac:dyDescent="0.2">
      <c r="B77" s="8">
        <v>68.3</v>
      </c>
      <c r="C77" s="51">
        <v>37</v>
      </c>
    </row>
    <row r="78" spans="2:3" x14ac:dyDescent="0.2">
      <c r="B78" s="8">
        <v>71.7</v>
      </c>
      <c r="C78" s="51">
        <v>29</v>
      </c>
    </row>
    <row r="79" spans="2:3" x14ac:dyDescent="0.2">
      <c r="B79" s="8">
        <v>70.900000000000006</v>
      </c>
      <c r="C79" s="51">
        <v>52</v>
      </c>
    </row>
    <row r="80" spans="2:3" x14ac:dyDescent="0.2">
      <c r="B80" s="8">
        <v>66.3</v>
      </c>
      <c r="C80" s="51">
        <v>37</v>
      </c>
    </row>
    <row r="81" spans="2:3" x14ac:dyDescent="0.2">
      <c r="B81" s="8">
        <v>65.3</v>
      </c>
      <c r="C81" s="51">
        <v>19</v>
      </c>
    </row>
    <row r="82" spans="2:3" x14ac:dyDescent="0.2">
      <c r="B82" s="8">
        <v>75.7</v>
      </c>
      <c r="C82" s="51">
        <v>45</v>
      </c>
    </row>
    <row r="83" spans="2:3" x14ac:dyDescent="0.2">
      <c r="B83" s="8">
        <v>66</v>
      </c>
      <c r="C83" s="51">
        <v>23</v>
      </c>
    </row>
    <row r="84" spans="2:3" x14ac:dyDescent="0.2">
      <c r="B84" s="8">
        <v>78.900000000000006</v>
      </c>
      <c r="C84" s="51">
        <v>56</v>
      </c>
    </row>
    <row r="85" spans="2:3" x14ac:dyDescent="0.2">
      <c r="B85" s="8">
        <v>74</v>
      </c>
      <c r="C85" s="51">
        <v>49</v>
      </c>
    </row>
    <row r="86" spans="2:3" x14ac:dyDescent="0.2">
      <c r="B86" s="8">
        <v>74.599999999999994</v>
      </c>
      <c r="C86" s="51">
        <v>61</v>
      </c>
    </row>
    <row r="87" spans="2:3" x14ac:dyDescent="0.2">
      <c r="B87" s="8">
        <v>79.3</v>
      </c>
      <c r="C87" s="51">
        <v>73</v>
      </c>
    </row>
    <row r="88" spans="2:3" x14ac:dyDescent="0.2">
      <c r="B88" s="8">
        <v>70.099999999999994</v>
      </c>
      <c r="C88" s="51">
        <v>35</v>
      </c>
    </row>
    <row r="89" spans="2:3" x14ac:dyDescent="0.2">
      <c r="B89" s="8">
        <v>88.8</v>
      </c>
      <c r="C89" s="51">
        <v>104</v>
      </c>
    </row>
    <row r="90" spans="2:3" x14ac:dyDescent="0.2">
      <c r="B90" s="8">
        <v>66</v>
      </c>
      <c r="C90" s="51">
        <v>20</v>
      </c>
    </row>
    <row r="91" spans="2:3" x14ac:dyDescent="0.2">
      <c r="B91" s="8">
        <v>82.9</v>
      </c>
      <c r="C91" s="51">
        <v>81</v>
      </c>
    </row>
    <row r="92" spans="2:3" x14ac:dyDescent="0.2">
      <c r="B92" s="8">
        <v>100</v>
      </c>
      <c r="C92" s="51">
        <v>139</v>
      </c>
    </row>
    <row r="93" spans="2:3" x14ac:dyDescent="0.2">
      <c r="B93" s="8">
        <v>75.599999999999994</v>
      </c>
      <c r="C93" s="51">
        <v>60</v>
      </c>
    </row>
    <row r="94" spans="2:3" x14ac:dyDescent="0.2">
      <c r="B94" s="8">
        <v>67.5</v>
      </c>
      <c r="C94" s="51">
        <v>43</v>
      </c>
    </row>
    <row r="95" spans="2:3" x14ac:dyDescent="0.2">
      <c r="B95" s="8">
        <v>68.7</v>
      </c>
      <c r="C95" s="51">
        <v>7</v>
      </c>
    </row>
    <row r="96" spans="2:3" x14ac:dyDescent="0.2">
      <c r="B96" s="8">
        <v>76</v>
      </c>
      <c r="C96" s="51">
        <v>43</v>
      </c>
    </row>
    <row r="97" spans="2:3" x14ac:dyDescent="0.2">
      <c r="B97" s="8">
        <v>67.7</v>
      </c>
      <c r="C97" s="51">
        <v>36</v>
      </c>
    </row>
    <row r="98" spans="2:3" x14ac:dyDescent="0.2">
      <c r="B98" s="8">
        <v>75.3</v>
      </c>
      <c r="C98" s="51">
        <v>53</v>
      </c>
    </row>
    <row r="99" spans="2:3" x14ac:dyDescent="0.2">
      <c r="B99" s="8">
        <v>68.099999999999994</v>
      </c>
      <c r="C99" s="51">
        <v>3</v>
      </c>
    </row>
    <row r="100" spans="2:3" x14ac:dyDescent="0.2">
      <c r="B100" s="8">
        <v>63.3</v>
      </c>
      <c r="C100" s="51">
        <v>-12</v>
      </c>
    </row>
  </sheetData>
  <mergeCells count="4">
    <mergeCell ref="E5:F5"/>
    <mergeCell ref="H5:I5"/>
    <mergeCell ref="K5:L5"/>
    <mergeCell ref="N5:O5"/>
  </mergeCells>
  <pageMargins left="0.7" right="0.7" top="0.75" bottom="0.75" header="0.3" footer="0.3"/>
  <pageSetup orientation="portrait" r:id="rId1"/>
  <drawing r:id="rId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157A9-0DD4-4504-AD37-D514A7611410}">
  <sheetPr codeName="Sheet59">
    <tabColor rgb="FFEFE5F7"/>
  </sheetPr>
  <dimension ref="B1:V119"/>
  <sheetViews>
    <sheetView showGridLines="0" topLeftCell="M1" workbookViewId="0">
      <selection activeCell="V31" sqref="V31"/>
    </sheetView>
  </sheetViews>
  <sheetFormatPr baseColWidth="10" defaultColWidth="8.83203125" defaultRowHeight="15" x14ac:dyDescent="0.2"/>
  <cols>
    <col min="1" max="1" width="2.83203125" customWidth="1"/>
    <col min="2" max="2" width="20.6640625" bestFit="1" customWidth="1"/>
    <col min="3" max="3" width="19.33203125" bestFit="1" customWidth="1"/>
    <col min="5" max="5" width="14.33203125" customWidth="1"/>
    <col min="8" max="8" width="11.5" customWidth="1"/>
    <col min="11" max="11" width="16" bestFit="1" customWidth="1"/>
    <col min="12" max="12" width="11.5" customWidth="1"/>
    <col min="19" max="19" width="14.6640625" customWidth="1"/>
  </cols>
  <sheetData>
    <row r="1" spans="2:22" ht="25.5" customHeight="1" x14ac:dyDescent="0.25">
      <c r="B1" s="18" t="s">
        <v>245</v>
      </c>
      <c r="N1" t="s">
        <v>349</v>
      </c>
    </row>
    <row r="2" spans="2:22" ht="15" customHeight="1" thickBot="1" x14ac:dyDescent="0.25">
      <c r="B2" s="30" t="s">
        <v>266</v>
      </c>
    </row>
    <row r="3" spans="2:22" ht="18" customHeight="1" x14ac:dyDescent="0.2">
      <c r="N3" s="109" t="s">
        <v>350</v>
      </c>
      <c r="O3" s="109"/>
    </row>
    <row r="4" spans="2:22" x14ac:dyDescent="0.2">
      <c r="E4" s="3" t="s">
        <v>54</v>
      </c>
      <c r="N4" t="s">
        <v>351</v>
      </c>
      <c r="O4">
        <v>0.94886589689776413</v>
      </c>
    </row>
    <row r="5" spans="2:22" x14ac:dyDescent="0.2">
      <c r="B5" s="43" t="s">
        <v>22</v>
      </c>
      <c r="C5" s="43" t="s">
        <v>23</v>
      </c>
      <c r="E5" s="115" t="s">
        <v>229</v>
      </c>
      <c r="F5" s="115"/>
      <c r="H5" s="115" t="s">
        <v>242</v>
      </c>
      <c r="I5" s="115"/>
      <c r="K5" s="115" t="s">
        <v>248</v>
      </c>
      <c r="L5" s="115"/>
      <c r="N5" t="s">
        <v>352</v>
      </c>
      <c r="O5">
        <v>0.90034649029559832</v>
      </c>
    </row>
    <row r="6" spans="2:22" x14ac:dyDescent="0.2">
      <c r="B6" s="51">
        <v>252</v>
      </c>
      <c r="C6" s="51">
        <v>276</v>
      </c>
      <c r="E6" s="20" t="s">
        <v>230</v>
      </c>
      <c r="F6" s="87">
        <f>PEARSON(B6:B100,C6:C100)</f>
        <v>0.94886589689776391</v>
      </c>
      <c r="H6" s="20" t="s">
        <v>239</v>
      </c>
      <c r="I6" s="75">
        <f>INTERCEPT(C6:C100,B6:B100)</f>
        <v>41.63016671209175</v>
      </c>
      <c r="K6" s="58" t="s">
        <v>249</v>
      </c>
      <c r="L6" s="97" cm="1">
        <f t="array" ref="L6">SUMSQ(C6:C100-_xlfn.FORECAST.LINEAR(B6:B100,C6:C100,B6:B100))</f>
        <v>81929.289620086478</v>
      </c>
      <c r="N6" t="s">
        <v>353</v>
      </c>
      <c r="O6">
        <v>0.89927494718049727</v>
      </c>
    </row>
    <row r="7" spans="2:22" x14ac:dyDescent="0.2">
      <c r="B7" s="8">
        <v>423</v>
      </c>
      <c r="C7" s="8">
        <v>410</v>
      </c>
      <c r="H7" s="20" t="s">
        <v>240</v>
      </c>
      <c r="I7" s="87">
        <f>SLOPE(C6:C100,B6:B100)</f>
        <v>1.0325625976197308</v>
      </c>
      <c r="K7" s="58" t="s">
        <v>250</v>
      </c>
      <c r="L7" s="97" cm="1">
        <f t="array" ref="L7">SUMSQ(C6:C100-AVERAGE(C6:C100))</f>
        <v>822141.5368421051</v>
      </c>
      <c r="N7" t="s">
        <v>258</v>
      </c>
      <c r="O7">
        <v>29.68097207710337</v>
      </c>
    </row>
    <row r="8" spans="2:22" ht="16" thickBot="1" x14ac:dyDescent="0.25">
      <c r="B8" s="8">
        <v>101</v>
      </c>
      <c r="C8" s="8">
        <v>119</v>
      </c>
      <c r="K8" s="20" t="s">
        <v>251</v>
      </c>
      <c r="L8" s="87">
        <f>RSQ(C6:C100,B6:B100)</f>
        <v>0.90034649029559788</v>
      </c>
      <c r="N8" s="107" t="s">
        <v>354</v>
      </c>
      <c r="O8" s="107">
        <v>95</v>
      </c>
    </row>
    <row r="9" spans="2:22" x14ac:dyDescent="0.2">
      <c r="B9" s="8">
        <v>288</v>
      </c>
      <c r="C9" s="8">
        <v>334</v>
      </c>
      <c r="K9" s="58" t="s">
        <v>254</v>
      </c>
      <c r="L9" s="97">
        <f>L6/(COUNT(C6:C100)-1-1)</f>
        <v>880.96010344179012</v>
      </c>
    </row>
    <row r="10" spans="2:22" ht="16" thickBot="1" x14ac:dyDescent="0.25">
      <c r="B10" s="8">
        <v>248</v>
      </c>
      <c r="C10" s="8">
        <v>252</v>
      </c>
      <c r="K10" s="20" t="s">
        <v>146</v>
      </c>
      <c r="L10" s="75">
        <f>STEYX(C6:C100,B6:B100)</f>
        <v>29.680972077103387</v>
      </c>
      <c r="N10" t="s">
        <v>355</v>
      </c>
    </row>
    <row r="11" spans="2:22" x14ac:dyDescent="0.2">
      <c r="B11" s="8">
        <v>145</v>
      </c>
      <c r="C11" s="8">
        <v>209</v>
      </c>
      <c r="K11" s="20" t="s">
        <v>143</v>
      </c>
      <c r="L11" s="71">
        <v>0.05</v>
      </c>
      <c r="N11" s="108"/>
      <c r="O11" s="108" t="s">
        <v>360</v>
      </c>
      <c r="P11" s="108" t="s">
        <v>361</v>
      </c>
      <c r="Q11" s="108" t="s">
        <v>362</v>
      </c>
      <c r="R11" s="108" t="s">
        <v>363</v>
      </c>
      <c r="S11" s="108" t="s">
        <v>364</v>
      </c>
    </row>
    <row r="12" spans="2:22" x14ac:dyDescent="0.2">
      <c r="B12" s="8">
        <v>401</v>
      </c>
      <c r="C12" s="8">
        <v>462</v>
      </c>
      <c r="K12" s="58" t="s">
        <v>253</v>
      </c>
      <c r="L12" s="97">
        <f>(L7-L6)/1</f>
        <v>740212.24722201866</v>
      </c>
      <c r="N12" t="s">
        <v>356</v>
      </c>
      <c r="O12">
        <v>1</v>
      </c>
      <c r="P12">
        <v>740212.24722201854</v>
      </c>
      <c r="Q12">
        <v>740212.24722201854</v>
      </c>
      <c r="R12">
        <v>840.23356373360286</v>
      </c>
      <c r="S12">
        <v>2.3373706863266021E-48</v>
      </c>
    </row>
    <row r="13" spans="2:22" x14ac:dyDescent="0.2">
      <c r="B13" s="8">
        <v>287</v>
      </c>
      <c r="C13" s="8">
        <v>342</v>
      </c>
      <c r="K13" s="20" t="s">
        <v>252</v>
      </c>
      <c r="L13" s="75">
        <f>L12/L9</f>
        <v>840.23356373360275</v>
      </c>
      <c r="N13" t="s">
        <v>357</v>
      </c>
      <c r="O13">
        <v>93</v>
      </c>
      <c r="P13">
        <v>81929.289620086463</v>
      </c>
      <c r="Q13">
        <v>880.9601034417899</v>
      </c>
    </row>
    <row r="14" spans="2:22" ht="16" thickBot="1" x14ac:dyDescent="0.25">
      <c r="B14" s="8">
        <v>275</v>
      </c>
      <c r="C14" s="8">
        <v>347</v>
      </c>
      <c r="K14" s="20" t="s">
        <v>207</v>
      </c>
      <c r="L14" s="87">
        <f>_xlfn.F.DIST.RT(L13,1,COUNT(C6:C100)-1-1)</f>
        <v>2.3373706863266021E-48</v>
      </c>
      <c r="N14" s="107" t="s">
        <v>358</v>
      </c>
      <c r="O14" s="107">
        <v>94</v>
      </c>
      <c r="P14" s="107">
        <v>822141.53684210498</v>
      </c>
      <c r="Q14" s="107"/>
      <c r="R14" s="107"/>
      <c r="S14" s="107"/>
    </row>
    <row r="15" spans="2:22" ht="16" thickBot="1" x14ac:dyDescent="0.25">
      <c r="B15" s="8">
        <v>254</v>
      </c>
      <c r="C15" s="8">
        <v>313</v>
      </c>
    </row>
    <row r="16" spans="2:22" x14ac:dyDescent="0.2">
      <c r="B16" s="8">
        <v>182</v>
      </c>
      <c r="C16" s="8">
        <v>232</v>
      </c>
      <c r="N16" s="108"/>
      <c r="O16" s="108" t="s">
        <v>365</v>
      </c>
      <c r="P16" s="108" t="s">
        <v>258</v>
      </c>
      <c r="Q16" s="108" t="s">
        <v>366</v>
      </c>
      <c r="R16" s="108" t="s">
        <v>367</v>
      </c>
      <c r="S16" s="108" t="s">
        <v>368</v>
      </c>
      <c r="T16" s="108" t="s">
        <v>369</v>
      </c>
      <c r="U16" s="108" t="s">
        <v>370</v>
      </c>
      <c r="V16" s="108" t="s">
        <v>371</v>
      </c>
    </row>
    <row r="17" spans="2:22" x14ac:dyDescent="0.2">
      <c r="B17" s="8">
        <v>117</v>
      </c>
      <c r="C17" s="8">
        <v>163</v>
      </c>
      <c r="N17" t="s">
        <v>359</v>
      </c>
      <c r="O17">
        <v>41.630166712091665</v>
      </c>
      <c r="P17">
        <v>9.072216639810847</v>
      </c>
      <c r="Q17">
        <v>4.5887535940675734</v>
      </c>
      <c r="R17">
        <v>1.391405700577328E-5</v>
      </c>
      <c r="S17">
        <v>23.61454244861693</v>
      </c>
      <c r="T17">
        <v>59.645790975566399</v>
      </c>
      <c r="U17">
        <v>23.61454244861693</v>
      </c>
      <c r="V17">
        <v>59.645790975566399</v>
      </c>
    </row>
    <row r="18" spans="2:22" ht="16" thickBot="1" x14ac:dyDescent="0.25">
      <c r="B18" s="8">
        <v>130</v>
      </c>
      <c r="C18" s="8">
        <v>119</v>
      </c>
      <c r="N18" s="107" t="s">
        <v>22</v>
      </c>
      <c r="O18" s="107">
        <v>1.0325625976197312</v>
      </c>
      <c r="P18" s="107">
        <v>3.562184230494371E-2</v>
      </c>
      <c r="Q18" s="107">
        <v>28.98678256953681</v>
      </c>
      <c r="R18" s="107">
        <v>2.3373706863265356E-48</v>
      </c>
      <c r="S18" s="107">
        <v>0.96182467854023324</v>
      </c>
      <c r="T18" s="107">
        <v>1.1033005166992291</v>
      </c>
      <c r="U18" s="107">
        <v>0.96182467854023324</v>
      </c>
      <c r="V18" s="107">
        <v>1.1033005166992291</v>
      </c>
    </row>
    <row r="19" spans="2:22" x14ac:dyDescent="0.2">
      <c r="B19" s="8">
        <v>219</v>
      </c>
      <c r="C19" s="8">
        <v>304</v>
      </c>
    </row>
    <row r="20" spans="2:22" x14ac:dyDescent="0.2">
      <c r="B20" s="8">
        <v>152</v>
      </c>
      <c r="C20" s="8">
        <v>211</v>
      </c>
    </row>
    <row r="21" spans="2:22" x14ac:dyDescent="0.2">
      <c r="B21" s="8">
        <v>228</v>
      </c>
      <c r="C21" s="8">
        <v>286</v>
      </c>
    </row>
    <row r="22" spans="2:22" x14ac:dyDescent="0.2">
      <c r="B22" s="8">
        <v>62</v>
      </c>
      <c r="C22" s="8">
        <v>122</v>
      </c>
      <c r="N22" t="s">
        <v>372</v>
      </c>
    </row>
    <row r="23" spans="2:22" ht="16" thickBot="1" x14ac:dyDescent="0.25">
      <c r="B23" s="8">
        <v>393</v>
      </c>
      <c r="C23" s="8">
        <v>443</v>
      </c>
    </row>
    <row r="24" spans="2:22" x14ac:dyDescent="0.2">
      <c r="B24" s="8">
        <v>277</v>
      </c>
      <c r="C24" s="8">
        <v>366</v>
      </c>
      <c r="N24" s="108" t="s">
        <v>373</v>
      </c>
      <c r="O24" s="108" t="s">
        <v>374</v>
      </c>
      <c r="P24" s="108" t="s">
        <v>375</v>
      </c>
    </row>
    <row r="25" spans="2:22" x14ac:dyDescent="0.2">
      <c r="B25" s="8">
        <v>206</v>
      </c>
      <c r="C25" s="8">
        <v>244</v>
      </c>
      <c r="N25">
        <v>1</v>
      </c>
      <c r="O25">
        <v>301.83594131226391</v>
      </c>
      <c r="P25">
        <v>-25.835941312263913</v>
      </c>
    </row>
    <row r="26" spans="2:22" x14ac:dyDescent="0.2">
      <c r="B26" s="8">
        <v>229</v>
      </c>
      <c r="C26" s="8">
        <v>241</v>
      </c>
      <c r="N26">
        <v>2</v>
      </c>
      <c r="O26">
        <v>478.40414550523798</v>
      </c>
      <c r="P26">
        <v>-68.404145505237977</v>
      </c>
    </row>
    <row r="27" spans="2:22" x14ac:dyDescent="0.2">
      <c r="B27" s="8">
        <v>182</v>
      </c>
      <c r="C27" s="8">
        <v>237</v>
      </c>
      <c r="N27">
        <v>3</v>
      </c>
      <c r="O27">
        <v>145.91898907168451</v>
      </c>
      <c r="P27">
        <v>-26.918989071684507</v>
      </c>
    </row>
    <row r="28" spans="2:22" x14ac:dyDescent="0.2">
      <c r="B28" s="8">
        <v>98</v>
      </c>
      <c r="C28" s="8">
        <v>122</v>
      </c>
      <c r="N28">
        <v>4</v>
      </c>
      <c r="O28">
        <v>339.00819482657425</v>
      </c>
      <c r="P28">
        <v>-5.008194826574254</v>
      </c>
    </row>
    <row r="29" spans="2:22" x14ac:dyDescent="0.2">
      <c r="B29" s="8">
        <v>125</v>
      </c>
      <c r="C29" s="8">
        <v>129</v>
      </c>
      <c r="N29">
        <v>5</v>
      </c>
      <c r="O29">
        <v>297.70569092178499</v>
      </c>
      <c r="P29">
        <v>-45.705690921784992</v>
      </c>
    </row>
    <row r="30" spans="2:22" x14ac:dyDescent="0.2">
      <c r="B30" s="8">
        <v>164</v>
      </c>
      <c r="C30" s="8">
        <v>236</v>
      </c>
      <c r="N30">
        <v>6</v>
      </c>
      <c r="O30">
        <v>191.35174336695269</v>
      </c>
      <c r="P30">
        <v>17.648256633047311</v>
      </c>
    </row>
    <row r="31" spans="2:22" x14ac:dyDescent="0.2">
      <c r="B31" s="8">
        <v>186</v>
      </c>
      <c r="C31" s="8">
        <v>251</v>
      </c>
      <c r="N31">
        <v>7</v>
      </c>
      <c r="O31">
        <v>455.68776835760389</v>
      </c>
      <c r="P31">
        <v>6.3122316423961138</v>
      </c>
    </row>
    <row r="32" spans="2:22" x14ac:dyDescent="0.2">
      <c r="B32" s="8">
        <v>235</v>
      </c>
      <c r="C32" s="8">
        <v>283</v>
      </c>
      <c r="N32">
        <v>8</v>
      </c>
      <c r="O32">
        <v>337.97563222895451</v>
      </c>
      <c r="P32">
        <v>4.0243677710454904</v>
      </c>
    </row>
    <row r="33" spans="2:16" x14ac:dyDescent="0.2">
      <c r="B33" s="8">
        <v>184</v>
      </c>
      <c r="C33" s="8">
        <v>225</v>
      </c>
      <c r="N33">
        <v>9</v>
      </c>
      <c r="O33">
        <v>325.58488105751775</v>
      </c>
      <c r="P33">
        <v>21.415118942482252</v>
      </c>
    </row>
    <row r="34" spans="2:16" x14ac:dyDescent="0.2">
      <c r="B34" s="8">
        <v>76</v>
      </c>
      <c r="C34" s="8">
        <v>102</v>
      </c>
      <c r="N34">
        <v>10</v>
      </c>
      <c r="O34">
        <v>303.9010665075034</v>
      </c>
      <c r="P34">
        <v>9.0989334924965988</v>
      </c>
    </row>
    <row r="35" spans="2:16" x14ac:dyDescent="0.2">
      <c r="B35" s="8">
        <v>126</v>
      </c>
      <c r="C35" s="8">
        <v>180</v>
      </c>
      <c r="N35">
        <v>11</v>
      </c>
      <c r="O35">
        <v>229.55655947888275</v>
      </c>
      <c r="P35">
        <v>2.4434405211172532</v>
      </c>
    </row>
    <row r="36" spans="2:16" x14ac:dyDescent="0.2">
      <c r="B36" s="8">
        <v>183</v>
      </c>
      <c r="C36" s="8">
        <v>247</v>
      </c>
      <c r="N36">
        <v>12</v>
      </c>
      <c r="O36">
        <v>162.43999063360022</v>
      </c>
      <c r="P36">
        <v>0.56000936639978249</v>
      </c>
    </row>
    <row r="37" spans="2:16" x14ac:dyDescent="0.2">
      <c r="B37" s="8">
        <v>242</v>
      </c>
      <c r="C37" s="8">
        <v>343</v>
      </c>
      <c r="N37">
        <v>13</v>
      </c>
      <c r="O37">
        <v>175.86330440265672</v>
      </c>
      <c r="P37">
        <v>-56.863304402656723</v>
      </c>
    </row>
    <row r="38" spans="2:16" x14ac:dyDescent="0.2">
      <c r="B38" s="8">
        <v>207</v>
      </c>
      <c r="C38" s="8">
        <v>283</v>
      </c>
      <c r="N38">
        <v>14</v>
      </c>
      <c r="O38">
        <v>267.7613755908128</v>
      </c>
      <c r="P38">
        <v>36.238624409187196</v>
      </c>
    </row>
    <row r="39" spans="2:16" x14ac:dyDescent="0.2">
      <c r="B39" s="8">
        <v>181</v>
      </c>
      <c r="C39" s="8">
        <v>253</v>
      </c>
      <c r="N39">
        <v>15</v>
      </c>
      <c r="O39">
        <v>198.57968155029081</v>
      </c>
      <c r="P39">
        <v>12.420318449709185</v>
      </c>
    </row>
    <row r="40" spans="2:16" x14ac:dyDescent="0.2">
      <c r="B40" s="8">
        <v>239</v>
      </c>
      <c r="C40" s="8">
        <v>263</v>
      </c>
      <c r="N40">
        <v>16</v>
      </c>
      <c r="O40">
        <v>277.05443896939039</v>
      </c>
      <c r="P40">
        <v>8.9455610306096105</v>
      </c>
    </row>
    <row r="41" spans="2:16" x14ac:dyDescent="0.2">
      <c r="B41" s="8">
        <v>216</v>
      </c>
      <c r="C41" s="8">
        <v>291</v>
      </c>
      <c r="N41">
        <v>17</v>
      </c>
      <c r="O41">
        <v>105.649047764515</v>
      </c>
      <c r="P41">
        <v>16.350952235484996</v>
      </c>
    </row>
    <row r="42" spans="2:16" x14ac:dyDescent="0.2">
      <c r="B42" s="8">
        <v>289</v>
      </c>
      <c r="C42" s="8">
        <v>368</v>
      </c>
      <c r="N42">
        <v>18</v>
      </c>
      <c r="O42">
        <v>447.42726757664605</v>
      </c>
      <c r="P42">
        <v>-4.4272675766460452</v>
      </c>
    </row>
    <row r="43" spans="2:16" x14ac:dyDescent="0.2">
      <c r="B43" s="8">
        <v>213</v>
      </c>
      <c r="C43" s="8">
        <v>206</v>
      </c>
      <c r="N43">
        <v>19</v>
      </c>
      <c r="O43">
        <v>327.65000625275724</v>
      </c>
      <c r="P43">
        <v>38.349993747242763</v>
      </c>
    </row>
    <row r="44" spans="2:16" x14ac:dyDescent="0.2">
      <c r="B44" s="8">
        <v>209</v>
      </c>
      <c r="C44" s="8">
        <v>231</v>
      </c>
      <c r="N44">
        <v>20</v>
      </c>
      <c r="O44">
        <v>254.3380618217563</v>
      </c>
      <c r="P44">
        <v>-10.338061821756298</v>
      </c>
    </row>
    <row r="45" spans="2:16" x14ac:dyDescent="0.2">
      <c r="B45" s="8">
        <v>376</v>
      </c>
      <c r="C45" s="8">
        <v>389</v>
      </c>
      <c r="N45">
        <v>21</v>
      </c>
      <c r="O45">
        <v>278.08700156701013</v>
      </c>
      <c r="P45">
        <v>-37.087001567010134</v>
      </c>
    </row>
    <row r="46" spans="2:16" x14ac:dyDescent="0.2">
      <c r="B46" s="8">
        <v>332</v>
      </c>
      <c r="C46" s="8">
        <v>396</v>
      </c>
      <c r="N46">
        <v>22</v>
      </c>
      <c r="O46">
        <v>229.55655947888275</v>
      </c>
      <c r="P46">
        <v>7.4434405211172532</v>
      </c>
    </row>
    <row r="47" spans="2:16" x14ac:dyDescent="0.2">
      <c r="B47" s="8">
        <v>249</v>
      </c>
      <c r="C47" s="8">
        <v>339</v>
      </c>
      <c r="N47">
        <v>23</v>
      </c>
      <c r="O47">
        <v>142.82130127882533</v>
      </c>
      <c r="P47">
        <v>-20.821301278825331</v>
      </c>
    </row>
    <row r="48" spans="2:16" x14ac:dyDescent="0.2">
      <c r="B48" s="8">
        <v>228</v>
      </c>
      <c r="C48" s="8">
        <v>286</v>
      </c>
      <c r="N48">
        <v>24</v>
      </c>
      <c r="O48">
        <v>170.70049141455806</v>
      </c>
      <c r="P48">
        <v>-41.700491414558059</v>
      </c>
    </row>
    <row r="49" spans="2:16" x14ac:dyDescent="0.2">
      <c r="B49" s="8">
        <v>124</v>
      </c>
      <c r="C49" s="8">
        <v>146</v>
      </c>
      <c r="N49">
        <v>25</v>
      </c>
      <c r="O49">
        <v>210.97043272172758</v>
      </c>
      <c r="P49">
        <v>25.029567278272424</v>
      </c>
    </row>
    <row r="50" spans="2:16" x14ac:dyDescent="0.2">
      <c r="B50" s="8">
        <v>194</v>
      </c>
      <c r="C50" s="8">
        <v>315</v>
      </c>
      <c r="N50">
        <v>26</v>
      </c>
      <c r="O50">
        <v>233.68680986936167</v>
      </c>
      <c r="P50">
        <v>17.313190130638333</v>
      </c>
    </row>
    <row r="51" spans="2:16" x14ac:dyDescent="0.2">
      <c r="B51" s="8">
        <v>157</v>
      </c>
      <c r="C51" s="8">
        <v>183</v>
      </c>
      <c r="N51">
        <v>27</v>
      </c>
      <c r="O51">
        <v>284.28237715272849</v>
      </c>
      <c r="P51">
        <v>-1.2823771527284862</v>
      </c>
    </row>
    <row r="52" spans="2:16" x14ac:dyDescent="0.2">
      <c r="B52" s="8">
        <v>402</v>
      </c>
      <c r="C52" s="8">
        <v>481</v>
      </c>
      <c r="N52">
        <v>28</v>
      </c>
      <c r="O52">
        <v>231.62168467412221</v>
      </c>
      <c r="P52">
        <v>-6.6216846741222071</v>
      </c>
    </row>
    <row r="53" spans="2:16" x14ac:dyDescent="0.2">
      <c r="B53" s="8">
        <v>323</v>
      </c>
      <c r="C53" s="8">
        <v>349</v>
      </c>
      <c r="N53">
        <v>29</v>
      </c>
      <c r="O53">
        <v>120.10492413119124</v>
      </c>
      <c r="P53">
        <v>-18.10492413119124</v>
      </c>
    </row>
    <row r="54" spans="2:16" x14ac:dyDescent="0.2">
      <c r="B54" s="8">
        <v>181</v>
      </c>
      <c r="C54" s="8">
        <v>225</v>
      </c>
      <c r="N54">
        <v>30</v>
      </c>
      <c r="O54">
        <v>171.7330540121778</v>
      </c>
      <c r="P54">
        <v>8.2669459878221971</v>
      </c>
    </row>
    <row r="55" spans="2:16" x14ac:dyDescent="0.2">
      <c r="B55" s="8">
        <v>157</v>
      </c>
      <c r="C55" s="8">
        <v>217</v>
      </c>
      <c r="N55">
        <v>31</v>
      </c>
      <c r="O55">
        <v>230.58912207650249</v>
      </c>
      <c r="P55">
        <v>16.410877923497509</v>
      </c>
    </row>
    <row r="56" spans="2:16" x14ac:dyDescent="0.2">
      <c r="B56" s="8">
        <v>266</v>
      </c>
      <c r="C56" s="8">
        <v>353</v>
      </c>
      <c r="N56">
        <v>32</v>
      </c>
      <c r="O56">
        <v>291.51031533606664</v>
      </c>
      <c r="P56">
        <v>51.48968466393336</v>
      </c>
    </row>
    <row r="57" spans="2:16" x14ac:dyDescent="0.2">
      <c r="B57" s="8">
        <v>268</v>
      </c>
      <c r="C57" s="8">
        <v>314</v>
      </c>
      <c r="N57">
        <v>33</v>
      </c>
      <c r="O57">
        <v>255.37062441937604</v>
      </c>
      <c r="P57">
        <v>27.629375580623957</v>
      </c>
    </row>
    <row r="58" spans="2:16" x14ac:dyDescent="0.2">
      <c r="B58" s="8">
        <v>167</v>
      </c>
      <c r="C58" s="8">
        <v>247</v>
      </c>
      <c r="N58">
        <v>34</v>
      </c>
      <c r="O58">
        <v>228.52399688126303</v>
      </c>
      <c r="P58">
        <v>24.476003118736969</v>
      </c>
    </row>
    <row r="59" spans="2:16" x14ac:dyDescent="0.2">
      <c r="B59" s="8">
        <v>342</v>
      </c>
      <c r="C59" s="8">
        <v>410</v>
      </c>
      <c r="N59">
        <v>35</v>
      </c>
      <c r="O59">
        <v>288.41262754320741</v>
      </c>
      <c r="P59">
        <v>-25.412627543207407</v>
      </c>
    </row>
    <row r="60" spans="2:16" x14ac:dyDescent="0.2">
      <c r="B60" s="8">
        <v>349</v>
      </c>
      <c r="C60" s="8">
        <v>395</v>
      </c>
      <c r="N60">
        <v>36</v>
      </c>
      <c r="O60">
        <v>264.66368779795363</v>
      </c>
      <c r="P60">
        <v>26.336312202046372</v>
      </c>
    </row>
    <row r="61" spans="2:16" x14ac:dyDescent="0.2">
      <c r="B61" s="8">
        <v>340</v>
      </c>
      <c r="C61" s="8">
        <v>416</v>
      </c>
      <c r="N61">
        <v>37</v>
      </c>
      <c r="O61">
        <v>340.040757424194</v>
      </c>
      <c r="P61">
        <v>27.959242575806002</v>
      </c>
    </row>
    <row r="62" spans="2:16" x14ac:dyDescent="0.2">
      <c r="B62" s="8">
        <v>227</v>
      </c>
      <c r="C62" s="8">
        <v>342</v>
      </c>
      <c r="N62">
        <v>38</v>
      </c>
      <c r="O62">
        <v>261.56600000509439</v>
      </c>
      <c r="P62">
        <v>-55.566000005094395</v>
      </c>
    </row>
    <row r="63" spans="2:16" x14ac:dyDescent="0.2">
      <c r="B63" s="8">
        <v>409</v>
      </c>
      <c r="C63" s="8">
        <v>446</v>
      </c>
      <c r="N63">
        <v>39</v>
      </c>
      <c r="O63">
        <v>257.43574961461547</v>
      </c>
      <c r="P63">
        <v>-26.435749614615474</v>
      </c>
    </row>
    <row r="64" spans="2:16" x14ac:dyDescent="0.2">
      <c r="B64" s="8">
        <v>400</v>
      </c>
      <c r="C64" s="8">
        <v>477</v>
      </c>
      <c r="N64">
        <v>40</v>
      </c>
      <c r="O64">
        <v>429.87370341711062</v>
      </c>
      <c r="P64">
        <v>-40.873703417110619</v>
      </c>
    </row>
    <row r="65" spans="2:16" x14ac:dyDescent="0.2">
      <c r="B65" s="8">
        <v>374</v>
      </c>
      <c r="C65" s="8">
        <v>444</v>
      </c>
      <c r="N65">
        <v>41</v>
      </c>
      <c r="O65">
        <v>384.44094912184244</v>
      </c>
      <c r="P65">
        <v>11.559050878157564</v>
      </c>
    </row>
    <row r="66" spans="2:16" x14ac:dyDescent="0.2">
      <c r="B66" s="8">
        <v>255</v>
      </c>
      <c r="C66" s="8">
        <v>351</v>
      </c>
      <c r="N66">
        <v>42</v>
      </c>
      <c r="O66">
        <v>298.73825351940474</v>
      </c>
      <c r="P66">
        <v>40.261746480595264</v>
      </c>
    </row>
    <row r="67" spans="2:16" x14ac:dyDescent="0.2">
      <c r="B67" s="8">
        <v>146</v>
      </c>
      <c r="C67" s="8">
        <v>165</v>
      </c>
      <c r="N67">
        <v>43</v>
      </c>
      <c r="O67">
        <v>277.05443896939039</v>
      </c>
      <c r="P67">
        <v>8.9455610306096105</v>
      </c>
    </row>
    <row r="68" spans="2:16" x14ac:dyDescent="0.2">
      <c r="B68" s="8">
        <v>248</v>
      </c>
      <c r="C68" s="8">
        <v>317</v>
      </c>
      <c r="N68">
        <v>44</v>
      </c>
      <c r="O68">
        <v>169.66792881693834</v>
      </c>
      <c r="P68">
        <v>-23.667928816938343</v>
      </c>
    </row>
    <row r="69" spans="2:16" x14ac:dyDescent="0.2">
      <c r="B69" s="8">
        <v>198</v>
      </c>
      <c r="C69" s="8">
        <v>250</v>
      </c>
      <c r="N69">
        <v>45</v>
      </c>
      <c r="O69">
        <v>241.94731065031954</v>
      </c>
      <c r="P69">
        <v>73.052689349680463</v>
      </c>
    </row>
    <row r="70" spans="2:16" x14ac:dyDescent="0.2">
      <c r="B70" s="8">
        <v>210</v>
      </c>
      <c r="C70" s="8">
        <v>217</v>
      </c>
      <c r="N70">
        <v>46</v>
      </c>
      <c r="O70">
        <v>203.74249453838948</v>
      </c>
      <c r="P70">
        <v>-20.742494538389479</v>
      </c>
    </row>
    <row r="71" spans="2:16" x14ac:dyDescent="0.2">
      <c r="B71" s="8">
        <v>107</v>
      </c>
      <c r="C71" s="8">
        <v>138</v>
      </c>
      <c r="N71">
        <v>47</v>
      </c>
      <c r="O71">
        <v>456.72033095522363</v>
      </c>
      <c r="P71">
        <v>24.279669044776369</v>
      </c>
    </row>
    <row r="72" spans="2:16" x14ac:dyDescent="0.2">
      <c r="B72" s="8">
        <v>239</v>
      </c>
      <c r="C72" s="8">
        <v>302</v>
      </c>
      <c r="N72">
        <v>48</v>
      </c>
      <c r="O72">
        <v>375.14788574326485</v>
      </c>
      <c r="P72">
        <v>-26.147885743264851</v>
      </c>
    </row>
    <row r="73" spans="2:16" x14ac:dyDescent="0.2">
      <c r="B73" s="8">
        <v>287</v>
      </c>
      <c r="C73" s="8">
        <v>311</v>
      </c>
      <c r="N73">
        <v>49</v>
      </c>
      <c r="O73">
        <v>228.52399688126303</v>
      </c>
      <c r="P73">
        <v>-3.5239968812630309</v>
      </c>
    </row>
    <row r="74" spans="2:16" x14ac:dyDescent="0.2">
      <c r="B74" s="8">
        <v>340</v>
      </c>
      <c r="C74" s="8">
        <v>373</v>
      </c>
      <c r="N74">
        <v>50</v>
      </c>
      <c r="O74">
        <v>203.74249453838948</v>
      </c>
      <c r="P74">
        <v>13.257505461610521</v>
      </c>
    </row>
    <row r="75" spans="2:16" x14ac:dyDescent="0.2">
      <c r="B75" s="8">
        <v>155</v>
      </c>
      <c r="C75" s="8">
        <v>196</v>
      </c>
      <c r="N75">
        <v>51</v>
      </c>
      <c r="O75">
        <v>316.29181767894016</v>
      </c>
      <c r="P75">
        <v>36.708182321059837</v>
      </c>
    </row>
    <row r="76" spans="2:16" x14ac:dyDescent="0.2">
      <c r="B76" s="8">
        <v>263</v>
      </c>
      <c r="C76" s="8">
        <v>306</v>
      </c>
      <c r="N76">
        <v>52</v>
      </c>
      <c r="O76">
        <v>318.35694287417965</v>
      </c>
      <c r="P76">
        <v>-4.3569428741796514</v>
      </c>
    </row>
    <row r="77" spans="2:16" x14ac:dyDescent="0.2">
      <c r="B77" s="8">
        <v>265</v>
      </c>
      <c r="C77" s="8">
        <v>302</v>
      </c>
      <c r="N77">
        <v>53</v>
      </c>
      <c r="O77">
        <v>214.06812051458678</v>
      </c>
      <c r="P77">
        <v>32.931879485413219</v>
      </c>
    </row>
    <row r="78" spans="2:16" x14ac:dyDescent="0.2">
      <c r="B78" s="8">
        <v>249</v>
      </c>
      <c r="C78" s="8">
        <v>278</v>
      </c>
      <c r="N78">
        <v>54</v>
      </c>
      <c r="O78">
        <v>394.76657509803977</v>
      </c>
      <c r="P78">
        <v>15.233424901960234</v>
      </c>
    </row>
    <row r="79" spans="2:16" x14ac:dyDescent="0.2">
      <c r="B79" s="8">
        <v>377</v>
      </c>
      <c r="C79" s="8">
        <v>429</v>
      </c>
      <c r="N79">
        <v>55</v>
      </c>
      <c r="O79">
        <v>401.99451328137786</v>
      </c>
      <c r="P79">
        <v>-6.9945132813778628</v>
      </c>
    </row>
    <row r="80" spans="2:16" x14ac:dyDescent="0.2">
      <c r="B80" s="8">
        <v>301</v>
      </c>
      <c r="C80" s="8">
        <v>338</v>
      </c>
      <c r="N80">
        <v>56</v>
      </c>
      <c r="O80">
        <v>392.70144990280028</v>
      </c>
      <c r="P80">
        <v>23.298550097199723</v>
      </c>
    </row>
    <row r="81" spans="2:16" x14ac:dyDescent="0.2">
      <c r="B81" s="8">
        <v>242</v>
      </c>
      <c r="C81" s="8">
        <v>261</v>
      </c>
      <c r="N81">
        <v>57</v>
      </c>
      <c r="O81">
        <v>276.02187637177065</v>
      </c>
      <c r="P81">
        <v>65.978123628229355</v>
      </c>
    </row>
    <row r="82" spans="2:16" x14ac:dyDescent="0.2">
      <c r="B82" s="8">
        <v>211</v>
      </c>
      <c r="C82" s="8">
        <v>256</v>
      </c>
      <c r="N82">
        <v>58</v>
      </c>
      <c r="O82">
        <v>463.94826913856173</v>
      </c>
      <c r="P82">
        <v>-17.948269138561727</v>
      </c>
    </row>
    <row r="83" spans="2:16" x14ac:dyDescent="0.2">
      <c r="B83" s="8">
        <v>160</v>
      </c>
      <c r="C83" s="8">
        <v>183</v>
      </c>
      <c r="N83">
        <v>59</v>
      </c>
      <c r="O83">
        <v>454.65520575998414</v>
      </c>
      <c r="P83">
        <v>22.344794240015858</v>
      </c>
    </row>
    <row r="84" spans="2:16" x14ac:dyDescent="0.2">
      <c r="B84" s="8">
        <v>218</v>
      </c>
      <c r="C84" s="8">
        <v>274</v>
      </c>
      <c r="N84">
        <v>60</v>
      </c>
      <c r="O84">
        <v>427.80857822187113</v>
      </c>
      <c r="P84">
        <v>16.19142177812887</v>
      </c>
    </row>
    <row r="85" spans="2:16" x14ac:dyDescent="0.2">
      <c r="B85" s="8">
        <v>133</v>
      </c>
      <c r="C85" s="8">
        <v>182</v>
      </c>
      <c r="N85">
        <v>61</v>
      </c>
      <c r="O85">
        <v>304.93362910512315</v>
      </c>
      <c r="P85">
        <v>46.066370894876854</v>
      </c>
    </row>
    <row r="86" spans="2:16" x14ac:dyDescent="0.2">
      <c r="B86" s="8">
        <v>122</v>
      </c>
      <c r="C86" s="8">
        <v>183</v>
      </c>
      <c r="N86">
        <v>62</v>
      </c>
      <c r="O86">
        <v>192.38430596457243</v>
      </c>
      <c r="P86">
        <v>-27.384305964572434</v>
      </c>
    </row>
    <row r="87" spans="2:16" x14ac:dyDescent="0.2">
      <c r="B87" s="8">
        <v>236</v>
      </c>
      <c r="C87" s="8">
        <v>309</v>
      </c>
      <c r="N87">
        <v>63</v>
      </c>
      <c r="O87">
        <v>297.70569092178499</v>
      </c>
      <c r="P87">
        <v>19.294309078215008</v>
      </c>
    </row>
    <row r="88" spans="2:16" x14ac:dyDescent="0.2">
      <c r="B88" s="8">
        <v>143</v>
      </c>
      <c r="C88" s="8">
        <v>178</v>
      </c>
      <c r="N88">
        <v>64</v>
      </c>
      <c r="O88">
        <v>246.07756104079846</v>
      </c>
      <c r="P88">
        <v>3.9224389592015427</v>
      </c>
    </row>
    <row r="89" spans="2:16" x14ac:dyDescent="0.2">
      <c r="B89" s="8">
        <v>354</v>
      </c>
      <c r="C89" s="8">
        <v>458</v>
      </c>
      <c r="N89">
        <v>65</v>
      </c>
      <c r="O89">
        <v>258.46831221223522</v>
      </c>
      <c r="P89">
        <v>-41.468312212235219</v>
      </c>
    </row>
    <row r="90" spans="2:16" x14ac:dyDescent="0.2">
      <c r="B90" s="8">
        <v>214</v>
      </c>
      <c r="C90" s="8">
        <v>234</v>
      </c>
      <c r="N90">
        <v>66</v>
      </c>
      <c r="O90">
        <v>152.11436465740292</v>
      </c>
      <c r="P90">
        <v>-14.114364657402916</v>
      </c>
    </row>
    <row r="91" spans="2:16" x14ac:dyDescent="0.2">
      <c r="B91" s="8">
        <v>225</v>
      </c>
      <c r="C91" s="8">
        <v>306</v>
      </c>
      <c r="N91">
        <v>67</v>
      </c>
      <c r="O91">
        <v>288.41262754320741</v>
      </c>
      <c r="P91">
        <v>13.587372456792593</v>
      </c>
    </row>
    <row r="92" spans="2:16" x14ac:dyDescent="0.2">
      <c r="B92" s="8">
        <v>261</v>
      </c>
      <c r="C92" s="8">
        <v>400</v>
      </c>
      <c r="N92">
        <v>68</v>
      </c>
      <c r="O92">
        <v>337.97563222895451</v>
      </c>
      <c r="P92">
        <v>-26.97563222895451</v>
      </c>
    </row>
    <row r="93" spans="2:16" x14ac:dyDescent="0.2">
      <c r="B93" s="8">
        <v>277</v>
      </c>
      <c r="C93" s="8">
        <v>337</v>
      </c>
      <c r="N93">
        <v>69</v>
      </c>
      <c r="O93">
        <v>392.70144990280028</v>
      </c>
      <c r="P93">
        <v>-19.701449902800277</v>
      </c>
    </row>
    <row r="94" spans="2:16" x14ac:dyDescent="0.2">
      <c r="B94" s="8">
        <v>282</v>
      </c>
      <c r="C94" s="8">
        <v>325</v>
      </c>
      <c r="N94">
        <v>70</v>
      </c>
      <c r="O94">
        <v>201.67736934315002</v>
      </c>
      <c r="P94">
        <v>-5.6773693431500192</v>
      </c>
    </row>
    <row r="95" spans="2:16" x14ac:dyDescent="0.2">
      <c r="B95" s="8">
        <v>322</v>
      </c>
      <c r="C95" s="8">
        <v>329</v>
      </c>
      <c r="N95">
        <v>71</v>
      </c>
      <c r="O95">
        <v>313.19412988608099</v>
      </c>
      <c r="P95">
        <v>-7.1941298860809866</v>
      </c>
    </row>
    <row r="96" spans="2:16" x14ac:dyDescent="0.2">
      <c r="B96" s="8">
        <v>326</v>
      </c>
      <c r="C96" s="8">
        <v>369</v>
      </c>
      <c r="N96">
        <v>72</v>
      </c>
      <c r="O96">
        <v>315.25925508132042</v>
      </c>
      <c r="P96">
        <v>-13.259255081320418</v>
      </c>
    </row>
    <row r="97" spans="2:16" x14ac:dyDescent="0.2">
      <c r="B97" s="8">
        <v>421</v>
      </c>
      <c r="C97" s="8">
        <v>457</v>
      </c>
      <c r="N97">
        <v>73</v>
      </c>
      <c r="O97">
        <v>298.73825351940474</v>
      </c>
      <c r="P97">
        <v>-20.738253519404736</v>
      </c>
    </row>
    <row r="98" spans="2:16" x14ac:dyDescent="0.2">
      <c r="B98" s="8">
        <v>368</v>
      </c>
      <c r="C98" s="8">
        <v>421</v>
      </c>
      <c r="N98">
        <v>74</v>
      </c>
      <c r="O98">
        <v>430.90626601473036</v>
      </c>
      <c r="P98">
        <v>-1.9062660147303632</v>
      </c>
    </row>
    <row r="99" spans="2:16" x14ac:dyDescent="0.2">
      <c r="B99" s="8">
        <v>279</v>
      </c>
      <c r="C99" s="8">
        <v>282</v>
      </c>
      <c r="N99">
        <v>75</v>
      </c>
      <c r="O99">
        <v>352.43150859563076</v>
      </c>
      <c r="P99">
        <v>-14.43150859563076</v>
      </c>
    </row>
    <row r="100" spans="2:16" x14ac:dyDescent="0.2">
      <c r="B100" s="8">
        <v>268</v>
      </c>
      <c r="C100" s="8">
        <v>256</v>
      </c>
      <c r="N100">
        <v>76</v>
      </c>
      <c r="O100">
        <v>291.51031533606664</v>
      </c>
      <c r="P100">
        <v>-30.51031533606664</v>
      </c>
    </row>
    <row r="101" spans="2:16" x14ac:dyDescent="0.2">
      <c r="N101">
        <v>77</v>
      </c>
      <c r="O101">
        <v>259.50087480985496</v>
      </c>
      <c r="P101">
        <v>-3.5008748098549631</v>
      </c>
    </row>
    <row r="102" spans="2:16" x14ac:dyDescent="0.2">
      <c r="N102">
        <v>78</v>
      </c>
      <c r="O102">
        <v>206.84018233124866</v>
      </c>
      <c r="P102">
        <v>-23.840182331248656</v>
      </c>
    </row>
    <row r="103" spans="2:16" x14ac:dyDescent="0.2">
      <c r="N103">
        <v>79</v>
      </c>
      <c r="O103">
        <v>266.72881299319306</v>
      </c>
      <c r="P103">
        <v>7.2711870068069402</v>
      </c>
    </row>
    <row r="104" spans="2:16" x14ac:dyDescent="0.2">
      <c r="N104">
        <v>80</v>
      </c>
      <c r="O104">
        <v>178.96099219551593</v>
      </c>
      <c r="P104">
        <v>3.039007804484072</v>
      </c>
    </row>
    <row r="105" spans="2:16" x14ac:dyDescent="0.2">
      <c r="N105">
        <v>81</v>
      </c>
      <c r="O105">
        <v>167.60280362169888</v>
      </c>
      <c r="P105">
        <v>15.397196378301118</v>
      </c>
    </row>
    <row r="106" spans="2:16" x14ac:dyDescent="0.2">
      <c r="N106">
        <v>82</v>
      </c>
      <c r="O106">
        <v>285.31493975034823</v>
      </c>
      <c r="P106">
        <v>23.685060249651769</v>
      </c>
    </row>
    <row r="107" spans="2:16" x14ac:dyDescent="0.2">
      <c r="N107">
        <v>83</v>
      </c>
      <c r="O107">
        <v>189.28661817171323</v>
      </c>
      <c r="P107">
        <v>-11.286618171713229</v>
      </c>
    </row>
    <row r="108" spans="2:16" x14ac:dyDescent="0.2">
      <c r="N108">
        <v>84</v>
      </c>
      <c r="O108">
        <v>407.15732626947653</v>
      </c>
      <c r="P108">
        <v>50.842673730523472</v>
      </c>
    </row>
    <row r="109" spans="2:16" x14ac:dyDescent="0.2">
      <c r="N109">
        <v>85</v>
      </c>
      <c r="O109">
        <v>262.59856260271414</v>
      </c>
      <c r="P109">
        <v>-28.598562602714139</v>
      </c>
    </row>
    <row r="110" spans="2:16" x14ac:dyDescent="0.2">
      <c r="N110">
        <v>86</v>
      </c>
      <c r="O110">
        <v>273.95675117653121</v>
      </c>
      <c r="P110">
        <v>32.043248823468787</v>
      </c>
    </row>
    <row r="111" spans="2:16" x14ac:dyDescent="0.2">
      <c r="N111">
        <v>87</v>
      </c>
      <c r="O111">
        <v>311.1290046908415</v>
      </c>
      <c r="P111">
        <v>88.870995309158502</v>
      </c>
    </row>
    <row r="112" spans="2:16" x14ac:dyDescent="0.2">
      <c r="N112">
        <v>88</v>
      </c>
      <c r="O112">
        <v>327.65000625275724</v>
      </c>
      <c r="P112">
        <v>9.3499937472427632</v>
      </c>
    </row>
    <row r="113" spans="14:16" x14ac:dyDescent="0.2">
      <c r="N113">
        <v>89</v>
      </c>
      <c r="O113">
        <v>332.8128192408559</v>
      </c>
      <c r="P113">
        <v>-7.8128192408559016</v>
      </c>
    </row>
    <row r="114" spans="14:16" x14ac:dyDescent="0.2">
      <c r="N114">
        <v>90</v>
      </c>
      <c r="O114">
        <v>374.11532314564511</v>
      </c>
      <c r="P114">
        <v>-45.115323145645107</v>
      </c>
    </row>
    <row r="115" spans="14:16" x14ac:dyDescent="0.2">
      <c r="N115">
        <v>91</v>
      </c>
      <c r="O115">
        <v>378.24557353612403</v>
      </c>
      <c r="P115">
        <v>-9.2455735361240272</v>
      </c>
    </row>
    <row r="116" spans="14:16" x14ac:dyDescent="0.2">
      <c r="N116">
        <v>92</v>
      </c>
      <c r="O116">
        <v>476.33902030999849</v>
      </c>
      <c r="P116">
        <v>-19.339020309998489</v>
      </c>
    </row>
    <row r="117" spans="14:16" x14ac:dyDescent="0.2">
      <c r="N117">
        <v>93</v>
      </c>
      <c r="O117">
        <v>421.61320263615278</v>
      </c>
      <c r="P117">
        <v>-0.61320263615277781</v>
      </c>
    </row>
    <row r="118" spans="14:16" x14ac:dyDescent="0.2">
      <c r="N118">
        <v>94</v>
      </c>
      <c r="O118">
        <v>329.71513144799667</v>
      </c>
      <c r="P118">
        <v>-47.715131447996669</v>
      </c>
    </row>
    <row r="119" spans="14:16" ht="16" thickBot="1" x14ac:dyDescent="0.25">
      <c r="N119" s="107">
        <v>95</v>
      </c>
      <c r="O119" s="107">
        <v>318.35694287417965</v>
      </c>
      <c r="P119" s="107">
        <v>-62.356942874179651</v>
      </c>
    </row>
  </sheetData>
  <mergeCells count="3">
    <mergeCell ref="E5:F5"/>
    <mergeCell ref="H5:I5"/>
    <mergeCell ref="K5:L5"/>
  </mergeCells>
  <pageMargins left="0.7" right="0.7" top="0.75" bottom="0.75" header="0.3" footer="0.3"/>
  <pageSetup orientation="portrait" r:id="rId1"/>
  <drawing r:id="rId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D65B9-B820-4AF4-89FA-6E4E591089E2}">
  <sheetPr codeName="Sheet60">
    <tabColor rgb="FFEFE5F7"/>
  </sheetPr>
  <dimension ref="B1:N124"/>
  <sheetViews>
    <sheetView showGridLines="0" topLeftCell="B18" workbookViewId="0">
      <selection activeCell="L8" sqref="L8"/>
    </sheetView>
  </sheetViews>
  <sheetFormatPr baseColWidth="10" defaultColWidth="8.83203125" defaultRowHeight="15" x14ac:dyDescent="0.2"/>
  <cols>
    <col min="1" max="1" width="2.83203125" customWidth="1"/>
    <col min="2" max="2" width="16" bestFit="1" customWidth="1"/>
    <col min="3" max="3" width="20.6640625" customWidth="1"/>
    <col min="4" max="4" width="19.33203125" customWidth="1"/>
    <col min="11" max="11" width="15" customWidth="1"/>
    <col min="12" max="12" width="8.83203125" customWidth="1"/>
    <col min="14" max="14" width="17.83203125" customWidth="1"/>
  </cols>
  <sheetData>
    <row r="1" spans="2:12" ht="25.5" customHeight="1" x14ac:dyDescent="0.25">
      <c r="B1" s="18" t="s">
        <v>246</v>
      </c>
    </row>
    <row r="2" spans="2:12" ht="15" customHeight="1" x14ac:dyDescent="0.2">
      <c r="B2" s="30" t="s">
        <v>267</v>
      </c>
    </row>
    <row r="3" spans="2:12" ht="18" customHeight="1" x14ac:dyDescent="0.2"/>
    <row r="5" spans="2:12" x14ac:dyDescent="0.2">
      <c r="B5" s="43" t="s">
        <v>76</v>
      </c>
      <c r="C5" s="43" t="s">
        <v>22</v>
      </c>
      <c r="D5" s="43" t="s">
        <v>23</v>
      </c>
      <c r="F5" t="s">
        <v>349</v>
      </c>
      <c r="K5" t="s">
        <v>376</v>
      </c>
      <c r="L5">
        <v>70</v>
      </c>
    </row>
    <row r="6" spans="2:12" ht="16" thickBot="1" x14ac:dyDescent="0.25">
      <c r="B6" s="51">
        <v>68.400000000000006</v>
      </c>
      <c r="C6" s="51">
        <v>252</v>
      </c>
      <c r="D6" s="51">
        <v>276</v>
      </c>
      <c r="K6" t="s">
        <v>235</v>
      </c>
      <c r="L6">
        <v>285</v>
      </c>
    </row>
    <row r="7" spans="2:12" x14ac:dyDescent="0.2">
      <c r="B7" s="8">
        <v>62.1</v>
      </c>
      <c r="C7" s="8">
        <v>423</v>
      </c>
      <c r="D7" s="51">
        <v>410</v>
      </c>
      <c r="F7" s="109" t="s">
        <v>350</v>
      </c>
      <c r="G7" s="109"/>
    </row>
    <row r="8" spans="2:12" x14ac:dyDescent="0.2">
      <c r="B8" s="8">
        <v>70.2</v>
      </c>
      <c r="C8" s="8">
        <v>101</v>
      </c>
      <c r="D8" s="51">
        <v>119</v>
      </c>
      <c r="F8" t="s">
        <v>351</v>
      </c>
      <c r="G8">
        <v>0.99279109999741466</v>
      </c>
      <c r="K8" t="s">
        <v>236</v>
      </c>
      <c r="L8">
        <f>G21+G22*L5+G23*L6</f>
        <v>315.95174010556502</v>
      </c>
    </row>
    <row r="9" spans="2:12" x14ac:dyDescent="0.2">
      <c r="B9" s="8">
        <v>75.099999999999994</v>
      </c>
      <c r="C9" s="8">
        <v>288</v>
      </c>
      <c r="D9" s="51">
        <v>334</v>
      </c>
      <c r="F9" t="s">
        <v>352</v>
      </c>
      <c r="G9">
        <v>0.98563416823407668</v>
      </c>
    </row>
    <row r="10" spans="2:12" x14ac:dyDescent="0.2">
      <c r="B10" s="8">
        <v>60.9</v>
      </c>
      <c r="C10" s="8">
        <v>248</v>
      </c>
      <c r="D10" s="51">
        <v>252</v>
      </c>
      <c r="F10" t="s">
        <v>353</v>
      </c>
      <c r="G10">
        <v>0.98532186754351314</v>
      </c>
    </row>
    <row r="11" spans="2:12" x14ac:dyDescent="0.2">
      <c r="B11" s="8">
        <v>74.5</v>
      </c>
      <c r="C11" s="8">
        <v>145</v>
      </c>
      <c r="D11" s="51">
        <v>209</v>
      </c>
      <c r="F11" t="s">
        <v>258</v>
      </c>
      <c r="G11">
        <v>11.330387674231808</v>
      </c>
    </row>
    <row r="12" spans="2:12" ht="16" thickBot="1" x14ac:dyDescent="0.25">
      <c r="B12" s="8">
        <v>76.400000000000006</v>
      </c>
      <c r="C12" s="8">
        <v>401</v>
      </c>
      <c r="D12" s="51">
        <v>462</v>
      </c>
      <c r="F12" s="107" t="s">
        <v>354</v>
      </c>
      <c r="G12" s="107">
        <v>95</v>
      </c>
    </row>
    <row r="13" spans="2:12" x14ac:dyDescent="0.2">
      <c r="B13" s="8">
        <v>82.6</v>
      </c>
      <c r="C13" s="8">
        <v>287</v>
      </c>
      <c r="D13" s="51">
        <v>342</v>
      </c>
    </row>
    <row r="14" spans="2:12" ht="16" thickBot="1" x14ac:dyDescent="0.25">
      <c r="B14" s="8">
        <v>76.900000000000006</v>
      </c>
      <c r="C14" s="8">
        <v>275</v>
      </c>
      <c r="D14" s="51">
        <v>347</v>
      </c>
      <c r="F14" t="s">
        <v>355</v>
      </c>
    </row>
    <row r="15" spans="2:12" x14ac:dyDescent="0.2">
      <c r="B15" s="8">
        <v>83.3</v>
      </c>
      <c r="C15" s="8">
        <v>254</v>
      </c>
      <c r="D15" s="51">
        <v>313</v>
      </c>
      <c r="F15" s="108"/>
      <c r="G15" s="108" t="s">
        <v>360</v>
      </c>
      <c r="H15" s="108" t="s">
        <v>361</v>
      </c>
      <c r="I15" s="108" t="s">
        <v>362</v>
      </c>
      <c r="J15" s="108" t="s">
        <v>363</v>
      </c>
      <c r="K15" s="108" t="s">
        <v>364</v>
      </c>
    </row>
    <row r="16" spans="2:12" x14ac:dyDescent="0.2">
      <c r="B16" s="8">
        <v>75.8</v>
      </c>
      <c r="C16" s="8">
        <v>182</v>
      </c>
      <c r="D16" s="51">
        <v>232</v>
      </c>
      <c r="F16" t="s">
        <v>356</v>
      </c>
      <c r="G16">
        <v>2</v>
      </c>
      <c r="H16">
        <v>810330.78983605362</v>
      </c>
      <c r="I16">
        <v>405165.39491802681</v>
      </c>
      <c r="J16">
        <v>3156.0422311442453</v>
      </c>
      <c r="K16">
        <v>1.726695298954031E-85</v>
      </c>
    </row>
    <row r="17" spans="2:14" x14ac:dyDescent="0.2">
      <c r="B17" s="8">
        <v>76</v>
      </c>
      <c r="C17" s="8">
        <v>117</v>
      </c>
      <c r="D17" s="51">
        <v>163</v>
      </c>
      <c r="F17" t="s">
        <v>357</v>
      </c>
      <c r="G17">
        <v>92</v>
      </c>
      <c r="H17">
        <v>11810.747006051333</v>
      </c>
      <c r="I17">
        <v>128.37768484838406</v>
      </c>
    </row>
    <row r="18" spans="2:14" ht="16" thickBot="1" x14ac:dyDescent="0.25">
      <c r="B18" s="8">
        <v>62.8</v>
      </c>
      <c r="C18" s="8">
        <v>130</v>
      </c>
      <c r="D18" s="51">
        <v>119</v>
      </c>
      <c r="F18" s="107" t="s">
        <v>358</v>
      </c>
      <c r="G18" s="107">
        <v>94</v>
      </c>
      <c r="H18" s="107">
        <v>822141.53684210498</v>
      </c>
      <c r="I18" s="107"/>
      <c r="J18" s="107"/>
      <c r="K18" s="107"/>
    </row>
    <row r="19" spans="2:14" ht="16" thickBot="1" x14ac:dyDescent="0.25">
      <c r="B19" s="8">
        <v>82.8</v>
      </c>
      <c r="C19" s="8">
        <v>219</v>
      </c>
      <c r="D19" s="51">
        <v>304</v>
      </c>
    </row>
    <row r="20" spans="2:14" x14ac:dyDescent="0.2">
      <c r="B20" s="8">
        <v>76</v>
      </c>
      <c r="C20" s="8">
        <v>152</v>
      </c>
      <c r="D20" s="51">
        <v>211</v>
      </c>
      <c r="F20" s="108"/>
      <c r="G20" s="108" t="s">
        <v>365</v>
      </c>
      <c r="H20" s="108" t="s">
        <v>258</v>
      </c>
      <c r="I20" s="108" t="s">
        <v>366</v>
      </c>
      <c r="J20" s="108" t="s">
        <v>367</v>
      </c>
      <c r="K20" s="108" t="s">
        <v>368</v>
      </c>
      <c r="L20" s="108" t="s">
        <v>369</v>
      </c>
      <c r="M20" s="108" t="s">
        <v>370</v>
      </c>
      <c r="N20" s="108" t="s">
        <v>371</v>
      </c>
    </row>
    <row r="21" spans="2:14" x14ac:dyDescent="0.2">
      <c r="B21" s="8">
        <v>76.900000000000006</v>
      </c>
      <c r="C21" s="8">
        <v>228</v>
      </c>
      <c r="D21" s="51">
        <v>286</v>
      </c>
      <c r="F21" t="s">
        <v>359</v>
      </c>
      <c r="G21">
        <v>-222.42619776853718</v>
      </c>
      <c r="H21">
        <v>11.817463801380203</v>
      </c>
      <c r="I21">
        <v>-18.821821797546715</v>
      </c>
      <c r="J21">
        <v>2.6360711568826702E-33</v>
      </c>
      <c r="K21">
        <v>-245.89670092552367</v>
      </c>
      <c r="L21">
        <v>-198.95569461155068</v>
      </c>
      <c r="M21">
        <v>-245.89670092552367</v>
      </c>
      <c r="N21">
        <v>-198.95569461155068</v>
      </c>
    </row>
    <row r="22" spans="2:14" x14ac:dyDescent="0.2">
      <c r="B22" s="8">
        <v>75.8</v>
      </c>
      <c r="C22" s="8">
        <v>62</v>
      </c>
      <c r="D22" s="51">
        <v>122</v>
      </c>
      <c r="F22" t="s">
        <v>76</v>
      </c>
      <c r="G22">
        <v>3.6500404966015521</v>
      </c>
      <c r="H22">
        <v>0.15618021349556055</v>
      </c>
      <c r="I22">
        <v>23.370697317591418</v>
      </c>
      <c r="J22">
        <v>1.8132199734321842E-40</v>
      </c>
      <c r="K22">
        <v>3.3398531115995129</v>
      </c>
      <c r="L22">
        <v>3.9602278816035912</v>
      </c>
      <c r="M22">
        <v>3.3398531115995129</v>
      </c>
      <c r="N22">
        <v>3.9602278816035912</v>
      </c>
    </row>
    <row r="23" spans="2:14" ht="16" thickBot="1" x14ac:dyDescent="0.25">
      <c r="B23" s="8">
        <v>78</v>
      </c>
      <c r="C23" s="8">
        <v>393</v>
      </c>
      <c r="D23" s="51">
        <v>443</v>
      </c>
      <c r="F23" s="107" t="s">
        <v>22</v>
      </c>
      <c r="G23" s="107">
        <v>0.99254422144559151</v>
      </c>
      <c r="H23" s="107">
        <v>1.3705636999396694E-2</v>
      </c>
      <c r="I23" s="107">
        <v>72.418685938441399</v>
      </c>
      <c r="J23" s="107">
        <v>6.355192075965976E-83</v>
      </c>
      <c r="K23" s="107">
        <v>0.96532364333599063</v>
      </c>
      <c r="L23" s="107">
        <v>1.0197647995551924</v>
      </c>
      <c r="M23" s="107">
        <v>0.96532364333599063</v>
      </c>
      <c r="N23" s="107">
        <v>1.0197647995551924</v>
      </c>
    </row>
    <row r="24" spans="2:14" x14ac:dyDescent="0.2">
      <c r="B24" s="8">
        <v>82.4</v>
      </c>
      <c r="C24" s="8">
        <v>277</v>
      </c>
      <c r="D24" s="51">
        <v>366</v>
      </c>
    </row>
    <row r="25" spans="2:14" x14ac:dyDescent="0.2">
      <c r="B25" s="8">
        <v>76.2</v>
      </c>
      <c r="C25" s="8">
        <v>206</v>
      </c>
      <c r="D25" s="51">
        <v>244</v>
      </c>
    </row>
    <row r="26" spans="2:14" x14ac:dyDescent="0.2">
      <c r="B26" s="8">
        <v>62.5</v>
      </c>
      <c r="C26" s="8">
        <v>229</v>
      </c>
      <c r="D26" s="51">
        <v>241</v>
      </c>
    </row>
    <row r="27" spans="2:14" x14ac:dyDescent="0.2">
      <c r="B27" s="8">
        <v>78</v>
      </c>
      <c r="C27" s="8">
        <v>182</v>
      </c>
      <c r="D27" s="51">
        <v>237</v>
      </c>
      <c r="F27" t="s">
        <v>372</v>
      </c>
    </row>
    <row r="28" spans="2:14" ht="16" thickBot="1" x14ac:dyDescent="0.25">
      <c r="B28" s="8">
        <v>66.5</v>
      </c>
      <c r="C28" s="8">
        <v>98</v>
      </c>
      <c r="D28" s="51">
        <v>122</v>
      </c>
    </row>
    <row r="29" spans="2:14" x14ac:dyDescent="0.2">
      <c r="B29" s="8">
        <v>63.5</v>
      </c>
      <c r="C29" s="8">
        <v>125</v>
      </c>
      <c r="D29" s="51">
        <v>129</v>
      </c>
      <c r="F29" s="108" t="s">
        <v>373</v>
      </c>
      <c r="G29" s="108" t="s">
        <v>374</v>
      </c>
      <c r="H29" s="108" t="s">
        <v>375</v>
      </c>
    </row>
    <row r="30" spans="2:14" x14ac:dyDescent="0.2">
      <c r="B30" s="8">
        <v>82.6</v>
      </c>
      <c r="C30" s="8">
        <v>164</v>
      </c>
      <c r="D30" s="51">
        <v>236</v>
      </c>
      <c r="F30">
        <v>1</v>
      </c>
      <c r="G30">
        <v>277.35771600329804</v>
      </c>
      <c r="H30">
        <v>-1.3577160032980373</v>
      </c>
    </row>
    <row r="31" spans="2:14" x14ac:dyDescent="0.2">
      <c r="B31" s="8">
        <v>79.2</v>
      </c>
      <c r="C31" s="8">
        <v>186</v>
      </c>
      <c r="D31" s="51">
        <v>251</v>
      </c>
      <c r="F31">
        <v>2</v>
      </c>
      <c r="G31">
        <v>424.08752274190442</v>
      </c>
      <c r="H31">
        <v>-14.087522741904422</v>
      </c>
    </row>
    <row r="32" spans="2:14" x14ac:dyDescent="0.2">
      <c r="B32" s="8">
        <v>75</v>
      </c>
      <c r="C32" s="8">
        <v>235</v>
      </c>
      <c r="D32" s="51">
        <v>283</v>
      </c>
      <c r="F32">
        <v>3</v>
      </c>
      <c r="G32">
        <v>134.05361145889654</v>
      </c>
      <c r="H32">
        <v>-15.05361145889654</v>
      </c>
    </row>
    <row r="33" spans="2:8" x14ac:dyDescent="0.2">
      <c r="B33" s="8">
        <v>74.400000000000006</v>
      </c>
      <c r="C33" s="8">
        <v>184</v>
      </c>
      <c r="D33" s="51">
        <v>225</v>
      </c>
      <c r="F33">
        <v>4</v>
      </c>
      <c r="G33">
        <v>337.54457930256973</v>
      </c>
      <c r="H33">
        <v>-3.5445793025697299</v>
      </c>
    </row>
    <row r="34" spans="2:8" x14ac:dyDescent="0.2">
      <c r="B34" s="8">
        <v>67.900000000000006</v>
      </c>
      <c r="C34" s="8">
        <v>76</v>
      </c>
      <c r="D34" s="51">
        <v>102</v>
      </c>
      <c r="F34">
        <v>5</v>
      </c>
      <c r="G34">
        <v>246.01223539300403</v>
      </c>
      <c r="H34">
        <v>5.9877646069959667</v>
      </c>
    </row>
    <row r="35" spans="2:8" x14ac:dyDescent="0.2">
      <c r="B35" s="8">
        <v>76.8</v>
      </c>
      <c r="C35" s="8">
        <v>126</v>
      </c>
      <c r="D35" s="51">
        <v>180</v>
      </c>
      <c r="F35">
        <v>6</v>
      </c>
      <c r="G35">
        <v>193.42073133788921</v>
      </c>
      <c r="H35">
        <v>15.579268662110792</v>
      </c>
    </row>
    <row r="36" spans="2:8" x14ac:dyDescent="0.2">
      <c r="B36" s="8">
        <v>83</v>
      </c>
      <c r="C36" s="8">
        <v>183</v>
      </c>
      <c r="D36" s="51">
        <v>247</v>
      </c>
      <c r="F36">
        <v>7</v>
      </c>
      <c r="G36">
        <v>454.44712897150362</v>
      </c>
      <c r="H36">
        <v>7.5528710284963836</v>
      </c>
    </row>
    <row r="37" spans="2:8" x14ac:dyDescent="0.2">
      <c r="B37" s="8">
        <v>88.9</v>
      </c>
      <c r="C37" s="8">
        <v>242</v>
      </c>
      <c r="D37" s="51">
        <v>343</v>
      </c>
      <c r="F37">
        <v>8</v>
      </c>
      <c r="G37">
        <v>363.92733880563577</v>
      </c>
      <c r="H37">
        <v>-21.92733880563577</v>
      </c>
    </row>
    <row r="38" spans="2:8" x14ac:dyDescent="0.2">
      <c r="B38" s="8">
        <v>76.5</v>
      </c>
      <c r="C38" s="8">
        <v>207</v>
      </c>
      <c r="D38" s="51">
        <v>283</v>
      </c>
      <c r="F38">
        <v>9</v>
      </c>
      <c r="G38">
        <v>331.21157731765987</v>
      </c>
      <c r="H38">
        <v>15.788422682340126</v>
      </c>
    </row>
    <row r="39" spans="2:8" x14ac:dyDescent="0.2">
      <c r="B39" s="8">
        <v>79.900000000000006</v>
      </c>
      <c r="C39" s="8">
        <v>181</v>
      </c>
      <c r="D39" s="51">
        <v>253</v>
      </c>
      <c r="F39">
        <v>10</v>
      </c>
      <c r="G39">
        <v>333.72840784555234</v>
      </c>
      <c r="H39">
        <v>-20.72840784555234</v>
      </c>
    </row>
    <row r="40" spans="2:8" x14ac:dyDescent="0.2">
      <c r="B40" s="8">
        <v>70.400000000000006</v>
      </c>
      <c r="C40" s="8">
        <v>239</v>
      </c>
      <c r="D40" s="51">
        <v>263</v>
      </c>
      <c r="F40">
        <v>11</v>
      </c>
      <c r="G40">
        <v>234.8899201769581</v>
      </c>
      <c r="H40">
        <v>-2.8899201769580998</v>
      </c>
    </row>
    <row r="41" spans="2:8" x14ac:dyDescent="0.2">
      <c r="B41" s="8">
        <v>83.4</v>
      </c>
      <c r="C41" s="8">
        <v>216</v>
      </c>
      <c r="D41" s="51">
        <v>291</v>
      </c>
      <c r="F41">
        <v>12</v>
      </c>
      <c r="G41">
        <v>171.10455388231497</v>
      </c>
      <c r="H41">
        <v>-8.1045538823149741</v>
      </c>
    </row>
    <row r="42" spans="2:8" x14ac:dyDescent="0.2">
      <c r="B42" s="8">
        <v>79.2</v>
      </c>
      <c r="C42" s="8">
        <v>289</v>
      </c>
      <c r="D42" s="51">
        <v>368</v>
      </c>
      <c r="F42">
        <v>13</v>
      </c>
      <c r="G42">
        <v>135.82709420596717</v>
      </c>
      <c r="H42">
        <v>-16.827094205967171</v>
      </c>
    </row>
    <row r="43" spans="2:8" x14ac:dyDescent="0.2">
      <c r="B43" s="8">
        <v>61.2</v>
      </c>
      <c r="C43" s="8">
        <v>213</v>
      </c>
      <c r="D43" s="51">
        <v>206</v>
      </c>
      <c r="F43">
        <v>14</v>
      </c>
      <c r="G43">
        <v>297.16433984665588</v>
      </c>
      <c r="H43">
        <v>6.8356601533441221</v>
      </c>
    </row>
    <row r="44" spans="2:8" x14ac:dyDescent="0.2">
      <c r="B44" s="8">
        <v>64</v>
      </c>
      <c r="C44" s="8">
        <v>209</v>
      </c>
      <c r="D44" s="51">
        <v>231</v>
      </c>
      <c r="F44">
        <v>15</v>
      </c>
      <c r="G44">
        <v>205.84360163291069</v>
      </c>
      <c r="H44">
        <v>5.1563983670893094</v>
      </c>
    </row>
    <row r="45" spans="2:8" x14ac:dyDescent="0.2">
      <c r="B45" s="8">
        <v>68</v>
      </c>
      <c r="C45" s="8">
        <v>376</v>
      </c>
      <c r="D45" s="51">
        <v>389</v>
      </c>
      <c r="F45">
        <v>16</v>
      </c>
      <c r="G45">
        <v>284.56199890971709</v>
      </c>
      <c r="H45">
        <v>1.4380010902829099</v>
      </c>
    </row>
    <row r="46" spans="2:8" x14ac:dyDescent="0.2">
      <c r="B46" s="8">
        <v>78.5</v>
      </c>
      <c r="C46" s="8">
        <v>332</v>
      </c>
      <c r="D46" s="51">
        <v>396</v>
      </c>
      <c r="F46">
        <v>17</v>
      </c>
      <c r="G46">
        <v>115.78461360348713</v>
      </c>
      <c r="H46">
        <v>6.2153863965128693</v>
      </c>
    </row>
    <row r="47" spans="2:8" x14ac:dyDescent="0.2">
      <c r="B47" s="8">
        <v>83</v>
      </c>
      <c r="C47" s="8">
        <v>249</v>
      </c>
      <c r="D47" s="51">
        <v>339</v>
      </c>
      <c r="F47">
        <v>18</v>
      </c>
      <c r="G47">
        <v>452.34683999450135</v>
      </c>
      <c r="H47">
        <v>-9.3468399945013516</v>
      </c>
    </row>
    <row r="48" spans="2:8" x14ac:dyDescent="0.2">
      <c r="B48" s="8">
        <v>75.2</v>
      </c>
      <c r="C48" s="8">
        <v>228</v>
      </c>
      <c r="D48" s="51">
        <v>286</v>
      </c>
      <c r="F48">
        <v>19</v>
      </c>
      <c r="G48">
        <v>353.27188849185956</v>
      </c>
      <c r="H48">
        <v>12.728111508140444</v>
      </c>
    </row>
    <row r="49" spans="2:8" x14ac:dyDescent="0.2">
      <c r="B49" s="8">
        <v>68.099999999999994</v>
      </c>
      <c r="C49" s="8">
        <v>124</v>
      </c>
      <c r="D49" s="51">
        <v>146</v>
      </c>
      <c r="F49">
        <v>20</v>
      </c>
      <c r="G49">
        <v>260.17099769029295</v>
      </c>
      <c r="H49">
        <v>-16.17099769029295</v>
      </c>
    </row>
    <row r="50" spans="2:8" x14ac:dyDescent="0.2">
      <c r="B50" s="8">
        <v>93.6</v>
      </c>
      <c r="C50" s="8">
        <v>194</v>
      </c>
      <c r="D50" s="51">
        <v>315</v>
      </c>
      <c r="F50">
        <v>21</v>
      </c>
      <c r="G50">
        <v>232.99395998010027</v>
      </c>
      <c r="H50">
        <v>8.0060400198997286</v>
      </c>
    </row>
    <row r="51" spans="2:8" x14ac:dyDescent="0.2">
      <c r="B51" s="8">
        <v>75.599999999999994</v>
      </c>
      <c r="C51" s="8">
        <v>157</v>
      </c>
      <c r="D51" s="51">
        <v>183</v>
      </c>
      <c r="F51">
        <v>22</v>
      </c>
      <c r="G51">
        <v>242.92000926948154</v>
      </c>
      <c r="H51">
        <v>-5.9200092694815396</v>
      </c>
    </row>
    <row r="52" spans="2:8" x14ac:dyDescent="0.2">
      <c r="B52" s="8">
        <v>82.3</v>
      </c>
      <c r="C52" s="8">
        <v>402</v>
      </c>
      <c r="D52" s="51">
        <v>481</v>
      </c>
      <c r="F52">
        <v>23</v>
      </c>
      <c r="G52">
        <v>117.570828957134</v>
      </c>
      <c r="H52">
        <v>4.4291710428660025</v>
      </c>
    </row>
    <row r="53" spans="2:8" x14ac:dyDescent="0.2">
      <c r="B53" s="8">
        <v>71.400000000000006</v>
      </c>
      <c r="C53" s="8">
        <v>323</v>
      </c>
      <c r="D53" s="51">
        <v>349</v>
      </c>
      <c r="F53">
        <v>24</v>
      </c>
      <c r="G53">
        <v>133.41940144636033</v>
      </c>
      <c r="H53">
        <v>-4.4194014463603253</v>
      </c>
    </row>
    <row r="54" spans="2:8" x14ac:dyDescent="0.2">
      <c r="B54" s="8">
        <v>71.900000000000006</v>
      </c>
      <c r="C54" s="8">
        <v>181</v>
      </c>
      <c r="D54" s="51">
        <v>225</v>
      </c>
      <c r="F54">
        <v>25</v>
      </c>
      <c r="G54">
        <v>241.84439956782802</v>
      </c>
      <c r="H54">
        <v>-5.8443995678280203</v>
      </c>
    </row>
    <row r="55" spans="2:8" x14ac:dyDescent="0.2">
      <c r="B55" s="8">
        <v>79.099999999999994</v>
      </c>
      <c r="C55" s="8">
        <v>157</v>
      </c>
      <c r="D55" s="51">
        <v>217</v>
      </c>
      <c r="F55">
        <v>26</v>
      </c>
      <c r="G55">
        <v>251.27023475118577</v>
      </c>
      <c r="H55">
        <v>-0.27023475118576812</v>
      </c>
    </row>
    <row r="56" spans="2:8" x14ac:dyDescent="0.2">
      <c r="B56" s="8">
        <v>88.7</v>
      </c>
      <c r="C56" s="8">
        <v>266</v>
      </c>
      <c r="D56" s="51">
        <v>353</v>
      </c>
      <c r="F56">
        <v>27</v>
      </c>
      <c r="G56">
        <v>284.57473151629324</v>
      </c>
      <c r="H56">
        <v>-1.5747315162932409</v>
      </c>
    </row>
    <row r="57" spans="2:8" x14ac:dyDescent="0.2">
      <c r="B57" s="8">
        <v>69.400000000000006</v>
      </c>
      <c r="C57" s="8">
        <v>268</v>
      </c>
      <c r="D57" s="51">
        <v>314</v>
      </c>
      <c r="F57">
        <v>28</v>
      </c>
      <c r="G57">
        <v>231.76495192460715</v>
      </c>
      <c r="H57">
        <v>-6.7649519246071463</v>
      </c>
    </row>
    <row r="58" spans="2:8" x14ac:dyDescent="0.2">
      <c r="B58" s="8">
        <v>80.3</v>
      </c>
      <c r="C58" s="8">
        <v>167</v>
      </c>
      <c r="D58" s="51">
        <v>247</v>
      </c>
      <c r="F58">
        <v>29</v>
      </c>
      <c r="G58">
        <v>100.84491278057318</v>
      </c>
      <c r="H58">
        <v>1.155087219426818</v>
      </c>
    </row>
    <row r="59" spans="2:8" x14ac:dyDescent="0.2">
      <c r="B59" s="8">
        <v>83</v>
      </c>
      <c r="C59" s="8">
        <v>342</v>
      </c>
      <c r="D59" s="51">
        <v>410</v>
      </c>
      <c r="F59">
        <v>30</v>
      </c>
      <c r="G59">
        <v>182.95748427260654</v>
      </c>
      <c r="H59">
        <v>-2.9574842726065356</v>
      </c>
    </row>
    <row r="60" spans="2:8" x14ac:dyDescent="0.2">
      <c r="B60" s="8">
        <v>74.099999999999994</v>
      </c>
      <c r="C60" s="8">
        <v>349</v>
      </c>
      <c r="D60" s="51">
        <v>395</v>
      </c>
      <c r="F60">
        <v>31</v>
      </c>
      <c r="G60">
        <v>262.16275597393491</v>
      </c>
      <c r="H60">
        <v>-15.162755973934907</v>
      </c>
    </row>
    <row r="61" spans="2:8" x14ac:dyDescent="0.2">
      <c r="B61" s="8">
        <v>79.400000000000006</v>
      </c>
      <c r="C61" s="8">
        <v>340</v>
      </c>
      <c r="D61" s="51">
        <v>416</v>
      </c>
      <c r="F61">
        <v>32</v>
      </c>
      <c r="G61">
        <v>342.25810396917399</v>
      </c>
      <c r="H61">
        <v>0.74189603082601252</v>
      </c>
    </row>
    <row r="62" spans="2:8" x14ac:dyDescent="0.2">
      <c r="B62" s="8">
        <v>88.1</v>
      </c>
      <c r="C62" s="8">
        <v>227</v>
      </c>
      <c r="D62" s="51">
        <v>342</v>
      </c>
      <c r="F62">
        <v>33</v>
      </c>
      <c r="G62">
        <v>262.25855406071901</v>
      </c>
      <c r="H62">
        <v>20.741445939280993</v>
      </c>
    </row>
    <row r="63" spans="2:8" x14ac:dyDescent="0.2">
      <c r="B63" s="8">
        <v>74.599999999999994</v>
      </c>
      <c r="C63" s="8">
        <v>409</v>
      </c>
      <c r="D63" s="51">
        <v>446</v>
      </c>
      <c r="F63">
        <v>34</v>
      </c>
      <c r="G63">
        <v>248.86254199157892</v>
      </c>
      <c r="H63">
        <v>4.1374580084210777</v>
      </c>
    </row>
    <row r="64" spans="2:8" x14ac:dyDescent="0.2">
      <c r="B64" s="8">
        <v>87.1</v>
      </c>
      <c r="C64" s="8">
        <v>400</v>
      </c>
      <c r="D64" s="51">
        <v>477</v>
      </c>
      <c r="F64">
        <v>35</v>
      </c>
      <c r="G64">
        <v>271.75472211770847</v>
      </c>
      <c r="H64">
        <v>-8.754722117708468</v>
      </c>
    </row>
    <row r="65" spans="2:8" x14ac:dyDescent="0.2">
      <c r="B65" s="8">
        <v>79.7</v>
      </c>
      <c r="C65" s="8">
        <v>374</v>
      </c>
      <c r="D65" s="51">
        <v>444</v>
      </c>
      <c r="F65">
        <v>36</v>
      </c>
      <c r="G65">
        <v>296.37673148028006</v>
      </c>
      <c r="H65">
        <v>-5.376731480280057</v>
      </c>
    </row>
    <row r="66" spans="2:8" x14ac:dyDescent="0.2">
      <c r="B66" s="8">
        <v>82.1</v>
      </c>
      <c r="C66" s="8">
        <v>255</v>
      </c>
      <c r="D66" s="51">
        <v>351</v>
      </c>
      <c r="F66">
        <v>37</v>
      </c>
      <c r="G66">
        <v>353.50228956008169</v>
      </c>
      <c r="H66">
        <v>14.497710439918308</v>
      </c>
    </row>
    <row r="67" spans="2:8" x14ac:dyDescent="0.2">
      <c r="B67" s="8">
        <v>70.2</v>
      </c>
      <c r="C67" s="8">
        <v>146</v>
      </c>
      <c r="D67" s="51">
        <v>165</v>
      </c>
      <c r="F67">
        <v>38</v>
      </c>
      <c r="G67">
        <v>212.3681997913888</v>
      </c>
      <c r="H67">
        <v>-6.368199791388804</v>
      </c>
    </row>
    <row r="68" spans="2:8" x14ac:dyDescent="0.2">
      <c r="B68" s="8">
        <v>81.7</v>
      </c>
      <c r="C68" s="8">
        <v>248</v>
      </c>
      <c r="D68" s="51">
        <v>317</v>
      </c>
      <c r="F68">
        <v>39</v>
      </c>
      <c r="G68">
        <v>218.61813629609077</v>
      </c>
      <c r="H68">
        <v>12.381863703909232</v>
      </c>
    </row>
    <row r="69" spans="2:8" x14ac:dyDescent="0.2">
      <c r="B69" s="8">
        <v>76.099999999999994</v>
      </c>
      <c r="C69" s="8">
        <v>198</v>
      </c>
      <c r="D69" s="51">
        <v>250</v>
      </c>
      <c r="F69">
        <v>40</v>
      </c>
      <c r="G69">
        <v>398.97318326391076</v>
      </c>
      <c r="H69">
        <v>-9.9731832639107552</v>
      </c>
    </row>
    <row r="70" spans="2:8" x14ac:dyDescent="0.2">
      <c r="B70" s="8">
        <v>65.400000000000006</v>
      </c>
      <c r="C70" s="8">
        <v>210</v>
      </c>
      <c r="D70" s="51">
        <v>217</v>
      </c>
      <c r="F70">
        <v>41</v>
      </c>
      <c r="G70">
        <v>393.62666273462105</v>
      </c>
      <c r="H70">
        <v>2.3733372653789502</v>
      </c>
    </row>
    <row r="71" spans="2:8" x14ac:dyDescent="0.2">
      <c r="B71" s="8">
        <v>70.099999999999994</v>
      </c>
      <c r="C71" s="8">
        <v>107</v>
      </c>
      <c r="D71" s="51">
        <v>138</v>
      </c>
      <c r="F71">
        <v>42</v>
      </c>
      <c r="G71">
        <v>327.67067458934395</v>
      </c>
      <c r="H71">
        <v>11.329325410656054</v>
      </c>
    </row>
    <row r="72" spans="2:8" x14ac:dyDescent="0.2">
      <c r="B72" s="8">
        <v>75.3</v>
      </c>
      <c r="C72" s="8">
        <v>239</v>
      </c>
      <c r="D72" s="51">
        <v>302</v>
      </c>
      <c r="F72">
        <v>43</v>
      </c>
      <c r="G72">
        <v>278.3569300654944</v>
      </c>
      <c r="H72">
        <v>7.6430699345056041</v>
      </c>
    </row>
    <row r="73" spans="2:8" x14ac:dyDescent="0.2">
      <c r="B73" s="8">
        <v>68.7</v>
      </c>
      <c r="C73" s="8">
        <v>287</v>
      </c>
      <c r="D73" s="51">
        <v>311</v>
      </c>
      <c r="F73">
        <v>44</v>
      </c>
      <c r="G73">
        <v>149.21704350928184</v>
      </c>
      <c r="H73">
        <v>-3.2170435092818366</v>
      </c>
    </row>
    <row r="74" spans="2:8" x14ac:dyDescent="0.2">
      <c r="B74" s="8">
        <v>75.7</v>
      </c>
      <c r="C74" s="8">
        <v>340</v>
      </c>
      <c r="D74" s="51">
        <v>373</v>
      </c>
      <c r="F74">
        <v>45</v>
      </c>
      <c r="G74">
        <v>311.77117167381283</v>
      </c>
      <c r="H74">
        <v>3.2288283261871698</v>
      </c>
    </row>
    <row r="75" spans="2:8" x14ac:dyDescent="0.2">
      <c r="B75" s="8">
        <v>68.7</v>
      </c>
      <c r="C75" s="8">
        <v>155</v>
      </c>
      <c r="D75" s="51">
        <v>196</v>
      </c>
      <c r="F75">
        <v>46</v>
      </c>
      <c r="G75">
        <v>209.346306541498</v>
      </c>
      <c r="H75">
        <v>-26.346306541497995</v>
      </c>
    </row>
    <row r="76" spans="2:8" x14ac:dyDescent="0.2">
      <c r="B76" s="8">
        <v>70.400000000000006</v>
      </c>
      <c r="C76" s="8">
        <v>263</v>
      </c>
      <c r="D76" s="51">
        <v>306</v>
      </c>
      <c r="F76">
        <v>47</v>
      </c>
      <c r="G76">
        <v>476.97491212289833</v>
      </c>
      <c r="H76">
        <v>4.0250878771016687</v>
      </c>
    </row>
    <row r="77" spans="2:8" x14ac:dyDescent="0.2">
      <c r="B77" s="8">
        <v>68.3</v>
      </c>
      <c r="C77" s="8">
        <v>265</v>
      </c>
      <c r="D77" s="51">
        <v>302</v>
      </c>
      <c r="F77">
        <v>48</v>
      </c>
      <c r="G77">
        <v>358.77847721573971</v>
      </c>
      <c r="H77">
        <v>-9.7784772157397128</v>
      </c>
    </row>
    <row r="78" spans="2:8" x14ac:dyDescent="0.2">
      <c r="B78" s="8">
        <v>71.7</v>
      </c>
      <c r="C78" s="8">
        <v>249</v>
      </c>
      <c r="D78" s="51">
        <v>278</v>
      </c>
      <c r="F78">
        <v>49</v>
      </c>
      <c r="G78">
        <v>219.66221801876651</v>
      </c>
      <c r="H78">
        <v>5.3377819812334906</v>
      </c>
    </row>
    <row r="79" spans="2:8" x14ac:dyDescent="0.2">
      <c r="B79" s="8">
        <v>70.900000000000006</v>
      </c>
      <c r="C79" s="8">
        <v>377</v>
      </c>
      <c r="D79" s="51">
        <v>429</v>
      </c>
      <c r="F79">
        <v>50</v>
      </c>
      <c r="G79">
        <v>222.12144827960344</v>
      </c>
      <c r="H79">
        <v>-5.1214482796034417</v>
      </c>
    </row>
    <row r="80" spans="2:8" x14ac:dyDescent="0.2">
      <c r="B80" s="8">
        <v>66.3</v>
      </c>
      <c r="C80" s="8">
        <v>301</v>
      </c>
      <c r="D80" s="51">
        <v>338</v>
      </c>
      <c r="F80">
        <v>51</v>
      </c>
      <c r="G80">
        <v>365.34915718454783</v>
      </c>
      <c r="H80">
        <v>-12.349157184547835</v>
      </c>
    </row>
    <row r="81" spans="2:8" x14ac:dyDescent="0.2">
      <c r="B81" s="8">
        <v>65.3</v>
      </c>
      <c r="C81" s="8">
        <v>242</v>
      </c>
      <c r="D81" s="51">
        <v>261</v>
      </c>
      <c r="F81">
        <v>52</v>
      </c>
      <c r="G81">
        <v>296.8884640430291</v>
      </c>
      <c r="H81">
        <v>17.111535956970897</v>
      </c>
    </row>
    <row r="82" spans="2:8" x14ac:dyDescent="0.2">
      <c r="B82" s="8">
        <v>75.7</v>
      </c>
      <c r="C82" s="8">
        <v>211</v>
      </c>
      <c r="D82" s="51">
        <v>256</v>
      </c>
      <c r="F82">
        <v>53</v>
      </c>
      <c r="G82">
        <v>236.42693908998123</v>
      </c>
      <c r="H82">
        <v>10.573060910018768</v>
      </c>
    </row>
    <row r="83" spans="2:8" x14ac:dyDescent="0.2">
      <c r="B83" s="8">
        <v>66</v>
      </c>
      <c r="C83" s="8">
        <v>160</v>
      </c>
      <c r="D83" s="51">
        <v>183</v>
      </c>
      <c r="F83">
        <v>54</v>
      </c>
      <c r="G83">
        <v>419.97728718378391</v>
      </c>
      <c r="H83">
        <v>-9.9772871837839148</v>
      </c>
    </row>
    <row r="84" spans="2:8" x14ac:dyDescent="0.2">
      <c r="B84" s="8">
        <v>78.900000000000006</v>
      </c>
      <c r="C84" s="8">
        <v>218</v>
      </c>
      <c r="D84" s="51">
        <v>274</v>
      </c>
      <c r="F84">
        <v>55</v>
      </c>
      <c r="G84">
        <v>394.43973631414923</v>
      </c>
      <c r="H84">
        <v>0.5602636858507708</v>
      </c>
    </row>
    <row r="85" spans="2:8" x14ac:dyDescent="0.2">
      <c r="B85" s="8">
        <v>74</v>
      </c>
      <c r="C85" s="8">
        <v>133</v>
      </c>
      <c r="D85" s="51">
        <v>182</v>
      </c>
      <c r="F85">
        <v>56</v>
      </c>
      <c r="G85">
        <v>404.85205295312721</v>
      </c>
      <c r="H85">
        <v>11.147947046872787</v>
      </c>
    </row>
    <row r="86" spans="2:8" x14ac:dyDescent="0.2">
      <c r="B86" s="8">
        <v>74.599999999999994</v>
      </c>
      <c r="C86" s="8">
        <v>122</v>
      </c>
      <c r="D86" s="51">
        <v>183</v>
      </c>
      <c r="F86">
        <v>57</v>
      </c>
      <c r="G86">
        <v>324.44990825020881</v>
      </c>
      <c r="H86">
        <v>17.550091749791193</v>
      </c>
    </row>
    <row r="87" spans="2:8" x14ac:dyDescent="0.2">
      <c r="B87" s="8">
        <v>79.3</v>
      </c>
      <c r="C87" s="8">
        <v>236</v>
      </c>
      <c r="D87" s="51">
        <v>309</v>
      </c>
      <c r="F87">
        <v>58</v>
      </c>
      <c r="G87">
        <v>455.81740984918554</v>
      </c>
      <c r="H87">
        <v>-9.8174098491855375</v>
      </c>
    </row>
    <row r="88" spans="2:8" x14ac:dyDescent="0.2">
      <c r="B88" s="8">
        <v>70.099999999999994</v>
      </c>
      <c r="C88" s="8">
        <v>143</v>
      </c>
      <c r="D88" s="51">
        <v>178</v>
      </c>
      <c r="F88">
        <v>59</v>
      </c>
      <c r="G88">
        <v>492.51001806369459</v>
      </c>
      <c r="H88">
        <v>-15.510018063694588</v>
      </c>
    </row>
    <row r="89" spans="2:8" x14ac:dyDescent="0.2">
      <c r="B89" s="8">
        <v>88.8</v>
      </c>
      <c r="C89" s="8">
        <v>354</v>
      </c>
      <c r="D89" s="51">
        <v>458</v>
      </c>
      <c r="F89">
        <v>60</v>
      </c>
      <c r="G89">
        <v>439.69356863125773</v>
      </c>
      <c r="H89">
        <v>4.3064313687422668</v>
      </c>
    </row>
    <row r="90" spans="2:8" x14ac:dyDescent="0.2">
      <c r="B90" s="8">
        <v>66</v>
      </c>
      <c r="C90" s="8">
        <v>214</v>
      </c>
      <c r="D90" s="51">
        <v>234</v>
      </c>
      <c r="F90">
        <v>61</v>
      </c>
      <c r="G90">
        <v>330.34090347107605</v>
      </c>
      <c r="H90">
        <v>20.659096528923953</v>
      </c>
    </row>
    <row r="91" spans="2:8" x14ac:dyDescent="0.2">
      <c r="B91" s="8">
        <v>82.9</v>
      </c>
      <c r="C91" s="8">
        <v>225</v>
      </c>
      <c r="D91" s="51">
        <v>306</v>
      </c>
      <c r="F91">
        <v>62</v>
      </c>
      <c r="G91">
        <v>178.71810142394816</v>
      </c>
      <c r="H91">
        <v>-13.718101423948156</v>
      </c>
    </row>
    <row r="92" spans="2:8" x14ac:dyDescent="0.2">
      <c r="B92" s="8">
        <v>100</v>
      </c>
      <c r="C92" s="8">
        <v>261</v>
      </c>
      <c r="D92" s="51">
        <v>400</v>
      </c>
      <c r="F92">
        <v>63</v>
      </c>
      <c r="G92">
        <v>321.93307772231634</v>
      </c>
      <c r="H92">
        <v>-4.9330777223163409</v>
      </c>
    </row>
    <row r="93" spans="2:8" x14ac:dyDescent="0.2">
      <c r="B93" s="8">
        <v>75.599999999999994</v>
      </c>
      <c r="C93" s="8">
        <v>277</v>
      </c>
      <c r="D93" s="51">
        <v>337</v>
      </c>
      <c r="F93">
        <v>64</v>
      </c>
      <c r="G93">
        <v>251.86563986906802</v>
      </c>
      <c r="H93">
        <v>-1.8656398690680192</v>
      </c>
    </row>
    <row r="94" spans="2:8" x14ac:dyDescent="0.2">
      <c r="B94" s="8">
        <v>67.5</v>
      </c>
      <c r="C94" s="8">
        <v>282</v>
      </c>
      <c r="D94" s="51">
        <v>325</v>
      </c>
      <c r="F94">
        <v>65</v>
      </c>
      <c r="G94">
        <v>224.72073721277857</v>
      </c>
      <c r="H94">
        <v>-7.7207372127785732</v>
      </c>
    </row>
    <row r="95" spans="2:8" x14ac:dyDescent="0.2">
      <c r="B95" s="8">
        <v>68.7</v>
      </c>
      <c r="C95" s="8">
        <v>322</v>
      </c>
      <c r="D95" s="51">
        <v>329</v>
      </c>
      <c r="F95">
        <v>66</v>
      </c>
      <c r="G95">
        <v>139.6438727379099</v>
      </c>
      <c r="H95">
        <v>-1.6438727379099021</v>
      </c>
    </row>
    <row r="96" spans="2:8" x14ac:dyDescent="0.2">
      <c r="B96" s="8">
        <v>76</v>
      </c>
      <c r="C96" s="8">
        <v>326</v>
      </c>
      <c r="D96" s="51">
        <v>369</v>
      </c>
      <c r="F96">
        <v>67</v>
      </c>
      <c r="G96">
        <v>289.63992055105604</v>
      </c>
      <c r="H96">
        <v>12.360079448943964</v>
      </c>
    </row>
    <row r="97" spans="2:8" x14ac:dyDescent="0.2">
      <c r="B97" s="8">
        <v>67.7</v>
      </c>
      <c r="C97" s="8">
        <v>421</v>
      </c>
      <c r="D97" s="51">
        <v>457</v>
      </c>
      <c r="F97">
        <v>68</v>
      </c>
      <c r="G97">
        <v>313.19177590287421</v>
      </c>
      <c r="H97">
        <v>-2.1917759028742125</v>
      </c>
    </row>
    <row r="98" spans="2:8" x14ac:dyDescent="0.2">
      <c r="B98" s="8">
        <v>75.3</v>
      </c>
      <c r="C98" s="8">
        <v>368</v>
      </c>
      <c r="D98" s="51">
        <v>421</v>
      </c>
      <c r="F98">
        <v>69</v>
      </c>
      <c r="G98">
        <v>391.34690311570142</v>
      </c>
      <c r="H98">
        <v>-18.346903115701423</v>
      </c>
    </row>
    <row r="99" spans="2:8" x14ac:dyDescent="0.2">
      <c r="B99" s="8">
        <v>68.099999999999994</v>
      </c>
      <c r="C99" s="8">
        <v>279</v>
      </c>
      <c r="D99" s="51">
        <v>282</v>
      </c>
      <c r="F99">
        <v>70</v>
      </c>
      <c r="G99">
        <v>182.17593867205613</v>
      </c>
      <c r="H99">
        <v>13.824061327943866</v>
      </c>
    </row>
    <row r="100" spans="2:8" x14ac:dyDescent="0.2">
      <c r="B100" s="8">
        <v>63.3</v>
      </c>
      <c r="C100" s="8">
        <v>268</v>
      </c>
      <c r="D100" s="51">
        <v>256</v>
      </c>
      <c r="F100">
        <v>71</v>
      </c>
      <c r="G100">
        <v>295.57578343240266</v>
      </c>
      <c r="H100">
        <v>10.424216567597341</v>
      </c>
    </row>
    <row r="101" spans="2:8" x14ac:dyDescent="0.2">
      <c r="F101">
        <v>72</v>
      </c>
      <c r="G101">
        <v>289.89578683243059</v>
      </c>
      <c r="H101">
        <v>12.104213167569412</v>
      </c>
    </row>
    <row r="102" spans="2:8" x14ac:dyDescent="0.2">
      <c r="F102">
        <v>73</v>
      </c>
      <c r="G102">
        <v>286.4252169777464</v>
      </c>
      <c r="H102">
        <v>-8.4252169777464019</v>
      </c>
    </row>
    <row r="103" spans="2:8" x14ac:dyDescent="0.2">
      <c r="F103">
        <v>74</v>
      </c>
      <c r="G103">
        <v>410.55084492550088</v>
      </c>
      <c r="H103">
        <v>18.449155074499117</v>
      </c>
    </row>
    <row r="104" spans="2:8" x14ac:dyDescent="0.2">
      <c r="F104">
        <v>75</v>
      </c>
      <c r="G104">
        <v>318.32729781126875</v>
      </c>
      <c r="H104">
        <v>19.67270218873125</v>
      </c>
    </row>
    <row r="105" spans="2:8" x14ac:dyDescent="0.2">
      <c r="F105">
        <v>76</v>
      </c>
      <c r="G105">
        <v>256.11714824937729</v>
      </c>
      <c r="H105">
        <v>4.8828517506227058</v>
      </c>
    </row>
    <row r="106" spans="2:8" x14ac:dyDescent="0.2">
      <c r="F106">
        <v>77</v>
      </c>
      <c r="G106">
        <v>263.30869854922014</v>
      </c>
      <c r="H106">
        <v>-7.3086985492201393</v>
      </c>
    </row>
    <row r="107" spans="2:8" x14ac:dyDescent="0.2">
      <c r="F107">
        <v>78</v>
      </c>
      <c r="G107">
        <v>177.28355043845988</v>
      </c>
      <c r="H107">
        <v>5.7164495615401165</v>
      </c>
    </row>
    <row r="108" spans="2:8" x14ac:dyDescent="0.2">
      <c r="F108">
        <v>79</v>
      </c>
      <c r="G108">
        <v>281.93663768846426</v>
      </c>
      <c r="H108">
        <v>-7.9366376884642591</v>
      </c>
    </row>
    <row r="109" spans="2:8" x14ac:dyDescent="0.2">
      <c r="F109">
        <v>80</v>
      </c>
      <c r="G109">
        <v>179.68518043224134</v>
      </c>
      <c r="H109">
        <v>2.3148195677586614</v>
      </c>
    </row>
    <row r="110" spans="2:8" x14ac:dyDescent="0.2">
      <c r="F110">
        <v>81</v>
      </c>
      <c r="G110">
        <v>170.95721829430076</v>
      </c>
      <c r="H110">
        <v>12.042781705699241</v>
      </c>
    </row>
    <row r="111" spans="2:8" x14ac:dyDescent="0.2">
      <c r="F111">
        <v>82</v>
      </c>
      <c r="G111">
        <v>301.26244987312549</v>
      </c>
      <c r="H111">
        <v>7.7375501268745097</v>
      </c>
    </row>
    <row r="112" spans="2:8" x14ac:dyDescent="0.2">
      <c r="F112">
        <v>83</v>
      </c>
      <c r="G112">
        <v>175.37546470995119</v>
      </c>
      <c r="H112">
        <v>2.6245352900488115</v>
      </c>
    </row>
    <row r="113" spans="6:8" x14ac:dyDescent="0.2">
      <c r="F113">
        <v>84</v>
      </c>
      <c r="G113">
        <v>453.05805272142004</v>
      </c>
      <c r="H113">
        <v>4.9419472785799599</v>
      </c>
    </row>
    <row r="114" spans="6:8" x14ac:dyDescent="0.2">
      <c r="F114">
        <v>85</v>
      </c>
      <c r="G114">
        <v>230.88093839652183</v>
      </c>
      <c r="H114">
        <v>3.1190616034781726</v>
      </c>
    </row>
    <row r="115" spans="6:8" x14ac:dyDescent="0.2">
      <c r="F115">
        <v>86</v>
      </c>
      <c r="G115">
        <v>303.48460922498958</v>
      </c>
      <c r="H115">
        <v>2.5153907750104167</v>
      </c>
    </row>
    <row r="116" spans="6:8" x14ac:dyDescent="0.2">
      <c r="F116">
        <v>87</v>
      </c>
      <c r="G116">
        <v>401.63189368891739</v>
      </c>
      <c r="H116">
        <v>-1.631893688917387</v>
      </c>
    </row>
    <row r="117" spans="6:8" x14ac:dyDescent="0.2">
      <c r="F117">
        <v>88</v>
      </c>
      <c r="G117">
        <v>328.45161311496901</v>
      </c>
      <c r="H117">
        <v>8.5483868850309932</v>
      </c>
    </row>
    <row r="118" spans="6:8" x14ac:dyDescent="0.2">
      <c r="F118">
        <v>89</v>
      </c>
      <c r="G118">
        <v>303.84900619972439</v>
      </c>
      <c r="H118">
        <v>21.150993800275614</v>
      </c>
    </row>
    <row r="119" spans="6:8" x14ac:dyDescent="0.2">
      <c r="F119">
        <v>90</v>
      </c>
      <c r="G119">
        <v>347.93082365346993</v>
      </c>
      <c r="H119">
        <v>-18.930823653469929</v>
      </c>
    </row>
    <row r="120" spans="6:8" x14ac:dyDescent="0.2">
      <c r="F120">
        <v>91</v>
      </c>
      <c r="G120">
        <v>378.54629616444362</v>
      </c>
      <c r="H120">
        <v>-9.5462961644436177</v>
      </c>
    </row>
    <row r="121" spans="6:8" x14ac:dyDescent="0.2">
      <c r="F121">
        <v>92</v>
      </c>
      <c r="G121">
        <v>442.54266107998194</v>
      </c>
      <c r="H121">
        <v>14.45733892001806</v>
      </c>
    </row>
    <row r="122" spans="6:8" x14ac:dyDescent="0.2">
      <c r="F122">
        <v>93</v>
      </c>
      <c r="G122">
        <v>417.67812511753738</v>
      </c>
      <c r="H122">
        <v>3.3218748824626232</v>
      </c>
    </row>
    <row r="123" spans="6:8" x14ac:dyDescent="0.2">
      <c r="F123">
        <v>94</v>
      </c>
      <c r="G123">
        <v>303.06139783334851</v>
      </c>
      <c r="H123">
        <v>-21.061397833348508</v>
      </c>
    </row>
    <row r="124" spans="6:8" ht="16" thickBot="1" x14ac:dyDescent="0.25">
      <c r="F124" s="107">
        <v>95</v>
      </c>
      <c r="G124" s="107">
        <v>274.62321701375959</v>
      </c>
      <c r="H124" s="107">
        <v>-18.623217013759586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60</vt:i4>
      </vt:variant>
    </vt:vector>
  </HeadingPairs>
  <TitlesOfParts>
    <vt:vector size="60" baseType="lpstr">
      <vt:lpstr>RAW DATA</vt:lpstr>
      <vt:lpstr>TABLE OF CONTENTS</vt:lpstr>
      <vt:lpstr>Categorical Distributions</vt:lpstr>
      <vt:lpstr>Numerical Distributions</vt:lpstr>
      <vt:lpstr>Histograms</vt:lpstr>
      <vt:lpstr>Frequency Distributions</vt:lpstr>
      <vt:lpstr>Mean, Median, Mode</vt:lpstr>
      <vt:lpstr>Skew</vt:lpstr>
      <vt:lpstr>Central Tendency</vt:lpstr>
      <vt:lpstr>Min, Max, Range</vt:lpstr>
      <vt:lpstr>Quartiles &amp; IQR</vt:lpstr>
      <vt:lpstr>Box &amp; Whisker</vt:lpstr>
      <vt:lpstr>Variance &amp; Std Dev</vt:lpstr>
      <vt:lpstr>Coefficient of Variation</vt:lpstr>
      <vt:lpstr>Variability</vt:lpstr>
      <vt:lpstr>Normal Distribution</vt:lpstr>
      <vt:lpstr>Z-Scores</vt:lpstr>
      <vt:lpstr>Empirical Rule</vt:lpstr>
      <vt:lpstr>Normal Distributions</vt:lpstr>
      <vt:lpstr>NORM.DIST</vt:lpstr>
      <vt:lpstr>NORM.S.DIST</vt:lpstr>
      <vt:lpstr>Calculating Probabilities</vt:lpstr>
      <vt:lpstr>Normal Curve</vt:lpstr>
      <vt:lpstr>NORM.INV</vt:lpstr>
      <vt:lpstr>NORM.S.INV</vt:lpstr>
      <vt:lpstr>Estimating Values</vt:lpstr>
      <vt:lpstr>Margin of Error</vt:lpstr>
      <vt:lpstr>Confidence Intervals (z)</vt:lpstr>
      <vt:lpstr>T Distribution</vt:lpstr>
      <vt:lpstr>Confidence Intervals (t)</vt:lpstr>
      <vt:lpstr>Proportions</vt:lpstr>
      <vt:lpstr>Confidence Intervals (p)</vt:lpstr>
      <vt:lpstr>Dependent Samples</vt:lpstr>
      <vt:lpstr>Confidence Intervals (d)</vt:lpstr>
      <vt:lpstr>Independent Samples</vt:lpstr>
      <vt:lpstr>Confidence Intervals (x1-x2)</vt:lpstr>
      <vt:lpstr>Confidence Intervals (p1-p2)</vt:lpstr>
      <vt:lpstr>Null &amp; Alternative Hypothesis</vt:lpstr>
      <vt:lpstr>Significance Level</vt:lpstr>
      <vt:lpstr>Test Statistic</vt:lpstr>
      <vt:lpstr>P-Value</vt:lpstr>
      <vt:lpstr>Conclusion</vt:lpstr>
      <vt:lpstr>Hypothesis Tests (Two Tail)</vt:lpstr>
      <vt:lpstr>One Tail Hypothesis Test</vt:lpstr>
      <vt:lpstr>Hypothesis Tests (p)</vt:lpstr>
      <vt:lpstr>Hypothesis Tests (d)</vt:lpstr>
      <vt:lpstr>Hypothesis Tests (x1-x2)</vt:lpstr>
      <vt:lpstr>Scatterplots</vt:lpstr>
      <vt:lpstr>Correlation</vt:lpstr>
      <vt:lpstr>Linear Relationships</vt:lpstr>
      <vt:lpstr>Linear Regression</vt:lpstr>
      <vt:lpstr>Predictions</vt:lpstr>
      <vt:lpstr>Linear Regression Model</vt:lpstr>
      <vt:lpstr>R-Squared</vt:lpstr>
      <vt:lpstr>Standard Error</vt:lpstr>
      <vt:lpstr>Homoskedasticity</vt:lpstr>
      <vt:lpstr>Hypothesis Test</vt:lpstr>
      <vt:lpstr>Model Evaluation</vt:lpstr>
      <vt:lpstr>Analysis ToolPak</vt:lpstr>
      <vt:lpstr>Multiple Linear Regression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Ruiz</dc:creator>
  <cp:lastModifiedBy>Aidan Dean-Jones</cp:lastModifiedBy>
  <dcterms:created xsi:type="dcterms:W3CDTF">2022-08-25T18:47:42Z</dcterms:created>
  <dcterms:modified xsi:type="dcterms:W3CDTF">2026-06-24T15:06:25Z</dcterms:modified>
</cp:coreProperties>
</file>